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rontend" sheetId="2" state="visible" r:id="rId4"/>
    <sheet name="Backend" sheetId="3" state="visible" r:id="rId5"/>
    <sheet name="AI" sheetId="4" state="visible" r:id="rId6"/>
  </sheets>
  <definedNames>
    <definedName function="false" hidden="true" localSheetId="3" name="_xlnm._FilterDatabase" vbProcedure="false">AI!$A$1:$I$25</definedName>
    <definedName function="false" hidden="true" localSheetId="2" name="_xlnm._FilterDatabase" vbProcedure="false">Backend!$A$1:$I$39</definedName>
    <definedName function="false" hidden="true" localSheetId="1" name="_xlnm._FilterDatabase" vbProcedure="false">Frontend!$A$1:$I$31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<sst xmlns="http://schemas.openxmlformats.org/spreadsheetml/2006/main" count="667" uniqueCount="323">
  <si>
    <t xml:space="preserve">AI Law Portal: Project Tracker</t>
  </si>
  <si>
    <t xml:space="preserve">Status as of 2026-10-08. Edit the Status column (dropdown) on the Frontend, Backend and AI sheets; this page recalculates.</t>
  </si>
  <si>
    <t xml:space="preserve">Area</t>
  </si>
  <si>
    <t xml:space="preserve">Done</t>
  </si>
  <si>
    <t xml:space="preserve">In Progress</t>
  </si>
  <si>
    <t xml:space="preserve">Not Started</t>
  </si>
  <si>
    <t xml:space="preserve">Blocked</t>
  </si>
  <si>
    <t xml:space="preserve">Total</t>
  </si>
  <si>
    <t xml:space="preserve">% Done</t>
  </si>
  <si>
    <t xml:space="preserve">Frontend</t>
  </si>
  <si>
    <t xml:space="preserve">Backend</t>
  </si>
  <si>
    <t xml:space="preserve">AI</t>
  </si>
  <si>
    <t xml:space="preserve">Progress by sprint</t>
  </si>
  <si>
    <t xml:space="preserve">Sprint</t>
  </si>
  <si>
    <t xml:space="preserve">Setup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</si>
  <si>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</si>
  <si>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</si>
  <si>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</si>
  <si>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</si>
  <si>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</si>
  <si>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Open items needing input from the project owner</t>
  </si>
  <si>
    <t xml:space="preserve">1. eCourts API: base URL, auth method, endpoints, sample response (blocks BE-18 and all of Sprint 2).</t>
  </si>
  <si>
    <t xml:space="preserve">2. Choose the first LLM and embedding model; embedding dimension is fixed at 768 in the schema (AI-09).</t>
  </si>
  <si>
    <t xml:space="preserve">3. Confirm the pgvector package is installed on your Postgres server (BE-03).</t>
  </si>
  <si>
    <t xml:space="preserve">Notes: Sprint 1 items were verified by hand on Postgres 16 + pgvector with a stub OpenAI-compatible endpoint. Automated tests are tracked as BE-17 and FE-14.</t>
  </si>
  <si>
    <t xml:space="preserve">ID</t>
  </si>
  <si>
    <t xml:space="preserve">Feature / Task</t>
  </si>
  <si>
    <t xml:space="preserve">Description</t>
  </si>
  <si>
    <t xml:space="preserve">Status</t>
  </si>
  <si>
    <t xml:space="preserve">Priority</t>
  </si>
  <si>
    <t xml:space="preserve">Dependency / Notes</t>
  </si>
  <si>
    <t xml:space="preserve">Owner</t>
  </si>
  <si>
    <t xml:space="preserve">Target date</t>
  </si>
  <si>
    <t xml:space="preserve">FE-01</t>
  </si>
  <si>
    <t xml:space="preserve">App shell</t>
  </si>
  <si>
    <t xml:space="preserve">Vite + React 18 + Router + TanStack Query + Tailwind v4 + shadcn/ui base</t>
  </si>
  <si>
    <t xml:space="preserve">High</t>
  </si>
  <si>
    <t xml:space="preserve">FE-02</t>
  </si>
  <si>
    <t xml:space="preserve">Sidebar layout and routes</t>
  </si>
  <si>
    <t xml:space="preserve">Nav for all product areas; placeholders for later sprints</t>
  </si>
  <si>
    <t xml:space="preserve">FE-03</t>
  </si>
  <si>
    <t xml:space="preserve">Login and auth context</t>
  </si>
  <si>
    <t xml:space="preserve">Animated split-screen sign-in with SVG illustration; JWT session, protected routes, sign out</t>
  </si>
  <si>
    <t xml:space="preserve">BE-04</t>
  </si>
  <si>
    <t xml:space="preserve">FE-04</t>
  </si>
  <si>
    <t xml:space="preserve">Matters list and create form</t>
  </si>
  <si>
    <t xml:space="preserve">List, status badge, create with new or existing client</t>
  </si>
  <si>
    <t xml:space="preserve">BE-09</t>
  </si>
  <si>
    <t xml:space="preserve">FE-05</t>
  </si>
  <si>
    <t xml:space="preserve">Matter workspace: Overview (editable)</t>
  </si>
  <si>
    <t xml:space="preserve">View/edit status, priority, lawyer, court, legal issues</t>
  </si>
  <si>
    <t xml:space="preserve">FE-06</t>
  </si>
  <si>
    <t xml:space="preserve">Matter workspace: Timeline tab</t>
  </si>
  <si>
    <t xml:space="preserve">Chronological event feed</t>
  </si>
  <si>
    <t xml:space="preserve">Medium</t>
  </si>
  <si>
    <t xml:space="preserve">BE-11</t>
  </si>
  <si>
    <t xml:space="preserve">FE-07</t>
  </si>
  <si>
    <t xml:space="preserve">Matter workspace: Documents tab</t>
  </si>
  <si>
    <t xml:space="preserve">Upload, status polling while indexing, error display</t>
  </si>
  <si>
    <t xml:space="preserve">BE-12</t>
  </si>
  <si>
    <t xml:space="preserve">FE-08</t>
  </si>
  <si>
    <t xml:space="preserve">Matter workspace: Ask AI tab</t>
  </si>
  <si>
    <t xml:space="preserve">Question box, answer, numbered citations, disclaimer</t>
  </si>
  <si>
    <t xml:space="preserve">BE-14, AI-08</t>
  </si>
  <si>
    <t xml:space="preserve">FE-09</t>
  </si>
  <si>
    <t xml:space="preserve">Matter workspace: Team tab</t>
  </si>
  <si>
    <t xml:space="preserve">Add/remove matter members</t>
  </si>
  <si>
    <t xml:space="preserve">BE-10</t>
  </si>
  <si>
    <t xml:space="preserve">FE-10</t>
  </si>
  <si>
    <t xml:space="preserve">Clients page</t>
  </si>
  <si>
    <t xml:space="preserve">List, create, edit clients</t>
  </si>
  <si>
    <t xml:space="preserve">BE-08</t>
  </si>
  <si>
    <t xml:space="preserve">FE-11</t>
  </si>
  <si>
    <t xml:space="preserve">Account page</t>
  </si>
  <si>
    <t xml:space="preserve">Profile, time zone, working hours, notification and AI prefs</t>
  </si>
  <si>
    <t xml:space="preserve">BE-06</t>
  </si>
  <si>
    <t xml:space="preserve">FE-12</t>
  </si>
  <si>
    <t xml:space="preserve">AI provider settings page</t>
  </si>
  <si>
    <t xml:space="preserve">Admin form with Test connection; keys never shown</t>
  </si>
  <si>
    <t xml:space="preserve">BE-15</t>
  </si>
  <si>
    <t xml:space="preserve">FE-13</t>
  </si>
  <si>
    <t xml:space="preserve">Matter tabs: Tasks, Hearings, Legal Intelligence, Communications, AI Activity</t>
  </si>
  <si>
    <t xml:space="preserve">Currently placeholders pointing to their sprint</t>
  </si>
  <si>
    <t xml:space="preserve">Low</t>
  </si>
  <si>
    <t xml:space="preserve">Built per sprint</t>
  </si>
  <si>
    <t xml:space="preserve">FE-14</t>
  </si>
  <si>
    <t xml:space="preserve">Frontend automated tests</t>
  </si>
  <si>
    <t xml:space="preserve">No unit or e2e tests yet (checked by hand with Playwright)</t>
  </si>
  <si>
    <t xml:space="preserve">FE-15</t>
  </si>
  <si>
    <t xml:space="preserve">Legal Intelligence page</t>
  </si>
  <si>
    <t xml:space="preserve">Developments list, relevance, reviewed/dismissed actions</t>
  </si>
  <si>
    <t xml:space="preserve">BE-20, AI-12</t>
  </si>
  <si>
    <t xml:space="preserve">FE-16</t>
  </si>
  <si>
    <t xml:space="preserve">Case comparison report view</t>
  </si>
  <si>
    <t xml:space="preserve">My case vs judgment: same, different, impact, review</t>
  </si>
  <si>
    <t xml:space="preserve">AI-13</t>
  </si>
  <si>
    <t xml:space="preserve">FE-17</t>
  </si>
  <si>
    <t xml:space="preserve">Tasks UI</t>
  </si>
  <si>
    <t xml:space="preserve">Create, assign, due date, dependencies, archive</t>
  </si>
  <si>
    <t xml:space="preserve">BE-23</t>
  </si>
  <si>
    <t xml:space="preserve">FE-18</t>
  </si>
  <si>
    <t xml:space="preserve">Calendar and hearings UI</t>
  </si>
  <si>
    <t xml:space="preserve">Per matter and per user views</t>
  </si>
  <si>
    <t xml:space="preserve">BE-24</t>
  </si>
  <si>
    <t xml:space="preserve">FE-19</t>
  </si>
  <si>
    <t xml:space="preserve">People page</t>
  </si>
  <si>
    <t xml:space="preserve">Lawyers, workload, free/busy</t>
  </si>
  <si>
    <t xml:space="preserve">BE-25</t>
  </si>
  <si>
    <t xml:space="preserve">FE-20</t>
  </si>
  <si>
    <t xml:space="preserve">Dashboard action center</t>
  </si>
  <si>
    <t xml:space="preserve">Due/overdue, hearings, follow-ups, AI alerts</t>
  </si>
  <si>
    <t xml:space="preserve">BE-23, BE-24</t>
  </si>
  <si>
    <t xml:space="preserve">FE-21</t>
  </si>
  <si>
    <t xml:space="preserve">Notifications UI</t>
  </si>
  <si>
    <t xml:space="preserve">Inbox, mark read, actionable links</t>
  </si>
  <si>
    <t xml:space="preserve">BE-27</t>
  </si>
  <si>
    <t xml:space="preserve">FE-22</t>
  </si>
  <si>
    <t xml:space="preserve">Approval inbox</t>
  </si>
  <si>
    <t xml:space="preserve">Approve / reject pending agent actions</t>
  </si>
  <si>
    <t xml:space="preserve">AI-18</t>
  </si>
  <si>
    <t xml:space="preserve">FE-23</t>
  </si>
  <si>
    <t xml:space="preserve">Settings: legal data, calendar, email, storage</t>
  </si>
  <si>
    <t xml:space="preserve">Config forms with Test connection</t>
  </si>
  <si>
    <t xml:space="preserve">BE-31</t>
  </si>
  <si>
    <t xml:space="preserve">FE-24</t>
  </si>
  <si>
    <t xml:space="preserve">Settings: agents and permissions</t>
  </si>
  <si>
    <t xml:space="preserve">Policy editor, overrides, kill switch</t>
  </si>
  <si>
    <t xml:space="preserve">AI-16, AI-20</t>
  </si>
  <si>
    <t xml:space="preserve">FE-25</t>
  </si>
  <si>
    <t xml:space="preserve">Settings: notifications, retention, API keys</t>
  </si>
  <si>
    <t xml:space="preserve">FE-26</t>
  </si>
  <si>
    <t xml:space="preserve">Audit log viewer</t>
  </si>
  <si>
    <t xml:space="preserve">Search by user, agent, action, resource</t>
  </si>
  <si>
    <t xml:space="preserve">BE-33</t>
  </si>
  <si>
    <t xml:space="preserve">FE-27</t>
  </si>
  <si>
    <t xml:space="preserve">Analytics pages</t>
  </si>
  <si>
    <t xml:space="preserve">Firm, legal intelligence and AI analytics</t>
  </si>
  <si>
    <t xml:space="preserve">BE-34</t>
  </si>
  <si>
    <t xml:space="preserve">FE-28</t>
  </si>
  <si>
    <t xml:space="preserve">Admin panel: Team &amp; access</t>
  </si>
  <si>
    <t xml:space="preserve">Create logins (invite link or temporary password), change roles, disable/enable, reset links, search and filters</t>
  </si>
  <si>
    <t xml:space="preserve">BE-07</t>
  </si>
  <si>
    <t xml:space="preserve">FE-29</t>
  </si>
  <si>
    <t xml:space="preserve">Invite activation (register) flow</t>
  </si>
  <si>
    <t xml:space="preserve">Paste invite link, verify, set name and password with strength meter, success animation</t>
  </si>
  <si>
    <t xml:space="preserve">BE-36</t>
  </si>
  <si>
    <t xml:space="preserve">FE-30</t>
  </si>
  <si>
    <t xml:space="preserve">First-run firm setup</t>
  </si>
  <si>
    <t xml:space="preserve">Two-step: firm name, then first admin account; refused once any user exists</t>
  </si>
  <si>
    <t xml:space="preserve">BE-01</t>
  </si>
  <si>
    <t xml:space="preserve">Repo layout and config</t>
  </si>
  <si>
    <t xml:space="preserve">FastAPI app, pydantic settings, .env.example</t>
  </si>
  <si>
    <t xml:space="preserve">BE-02</t>
  </si>
  <si>
    <t xml:space="preserve">Database models</t>
  </si>
  <si>
    <t xml:space="preserve">SQLAlchemy models for all entities, UUID PKs, pgvector chunks</t>
  </si>
  <si>
    <t xml:space="preserve">BE-03</t>
  </si>
  <si>
    <t xml:space="preserve">Initial Alembic migration</t>
  </si>
  <si>
    <t xml:space="preserve">Includes CREATE EXTENSION vector</t>
  </si>
  <si>
    <t xml:space="preserve">Needs pgvector package on the server</t>
  </si>
  <si>
    <t xml:space="preserve">Auth: login and /me</t>
  </si>
  <si>
    <t xml:space="preserve">JWT, bcrypt hashing, seed script for first admin</t>
  </si>
  <si>
    <t xml:space="preserve">BE-05</t>
  </si>
  <si>
    <t xml:space="preserve">RBAC dependency</t>
  </si>
  <si>
    <t xml:space="preserve">require_roles(); admin-only AI settings verified (403 for lawyer)</t>
  </si>
  <si>
    <t xml:space="preserve">Profile endpoint</t>
  </si>
  <si>
    <t xml:space="preserve">PATCH /auth/me with time zone and HH:MM validation; role not editable</t>
  </si>
  <si>
    <t xml:space="preserve">User management API (admin)</t>
  </si>
  <si>
    <t xml:space="preserve">List, create (invite or temp password), change role, disable/enable, reissue link; self-lockout and last-admin guards</t>
  </si>
  <si>
    <t xml:space="preserve">Clients API</t>
  </si>
  <si>
    <t xml:space="preserve">List, create, update</t>
  </si>
  <si>
    <t xml:space="preserve">Matters API</t>
  </si>
  <si>
    <t xml:space="preserve">List, create, get, patch; matter numbering</t>
  </si>
  <si>
    <t xml:space="preserve">Numbering uses row count; revisit for concurrency</t>
  </si>
  <si>
    <t xml:space="preserve">Matter members API</t>
  </si>
  <si>
    <t xml:space="preserve">List, add (409 on duplicate), remove; timeline-logged</t>
  </si>
  <si>
    <t xml:space="preserve">Case timeline</t>
  </si>
  <si>
    <t xml:space="preserve">DB-backed events written by services</t>
  </si>
  <si>
    <t xml:space="preserve">Document upload and extraction</t>
  </si>
  <si>
    <t xml:space="preserve">PDF/DOCX/TXT, local storage, per-page text, background task</t>
  </si>
  <si>
    <t xml:space="preserve">BE-13</t>
  </si>
  <si>
    <t xml:space="preserve">Chunking and embeddings storage</t>
  </si>
  <si>
    <t xml:space="preserve">Chunks with doc/page/matter metadata in pgvector</t>
  </si>
  <si>
    <t xml:space="preserve">AI-05</t>
  </si>
  <si>
    <t xml:space="preserve">BE-14</t>
  </si>
  <si>
    <t xml:space="preserve">Matter Q&amp;A endpoint</t>
  </si>
  <si>
    <t xml:space="preserve">POST /matters/{id}/ask</t>
  </si>
  <si>
    <t xml:space="preserve">AI-08</t>
  </si>
  <si>
    <t xml:space="preserve">AI provider settings API</t>
  </si>
  <si>
    <t xml:space="preserve">Encrypted keys, test endpoint (single provider)</t>
  </si>
  <si>
    <t xml:space="preserve">BE-16</t>
  </si>
  <si>
    <t xml:space="preserve">Access control per matter</t>
  </si>
  <si>
    <t xml:space="preserve">Today any signed-in user can read any matter; restrict to members/assignee/partners</t>
  </si>
  <si>
    <t xml:space="preserve">Security hardening</t>
  </si>
  <si>
    <t xml:space="preserve">BE-17</t>
  </si>
  <si>
    <t xml:space="preserve">Backend automated tests</t>
  </si>
  <si>
    <t xml:space="preserve">No pytest suite yet (verified by hand with curl)</t>
  </si>
  <si>
    <t xml:space="preserve">BE-18</t>
  </si>
  <si>
    <t xml:space="preserve">eCourts provider adapter</t>
  </si>
  <si>
    <t xml:space="preserve">ECourtsProvider implements LegalDataProvider</t>
  </si>
  <si>
    <t xml:space="preserve">Needs API base URL, auth, endpoints, sample response</t>
  </si>
  <si>
    <t xml:space="preserve">BE-19</t>
  </si>
  <si>
    <t xml:space="preserve">Legal data normalization</t>
  </si>
  <si>
    <t xml:space="preserve">Court, LegalCase, Party, Judgment, Order, Hearing, LegalProvision</t>
  </si>
  <si>
    <t xml:space="preserve">BE-20</t>
  </si>
  <si>
    <t xml:space="preserve">Legal data sync and alerts</t>
  </si>
  <si>
    <t xml:space="preserve">Manual + scheduled, dedupe by external ID, LegalDevelopment alerts</t>
  </si>
  <si>
    <t xml:space="preserve">BE-21</t>
  </si>
  <si>
    <t xml:space="preserve">Matter-to-judgment matching service</t>
  </si>
  <si>
    <t xml:space="preserve">Score storage with per-signal breakdown</t>
  </si>
  <si>
    <t xml:space="preserve">AI-12</t>
  </si>
  <si>
    <t xml:space="preserve">BE-22</t>
  </si>
  <si>
    <t xml:space="preserve">Case comparison service</t>
  </si>
  <si>
    <t xml:space="preserve">Stores comparison reports</t>
  </si>
  <si>
    <t xml:space="preserve">Tasks API</t>
  </si>
  <si>
    <t xml:space="preserve">CRUD, assignee, dependencies, archive; events to timeline</t>
  </si>
  <si>
    <t xml:space="preserve">Calendar and hearings API</t>
  </si>
  <si>
    <t xml:space="preserve">CalendarProvider with local mock</t>
  </si>
  <si>
    <t xml:space="preserve">People and availability service</t>
  </si>
  <si>
    <t xml:space="preserve">Free/busy from calendar + working hours</t>
  </si>
  <si>
    <t xml:space="preserve">BE-26</t>
  </si>
  <si>
    <t xml:space="preserve">Scheduler</t>
  </si>
  <si>
    <t xml:space="preserve">APScheduler for briefings, reminders, sync</t>
  </si>
  <si>
    <t xml:space="preserve">Notifications service</t>
  </si>
  <si>
    <t xml:space="preserve">De-duplicated, actionable</t>
  </si>
  <si>
    <t xml:space="preserve">BE-28</t>
  </si>
  <si>
    <t xml:space="preserve">Policy engine</t>
  </si>
  <si>
    <t xml:space="preserve">ALLOWED / APPROVAL_REQUIRED / DISABLED, server-side</t>
  </si>
  <si>
    <t xml:space="preserve">AI-16</t>
  </si>
  <si>
    <t xml:space="preserve">BE-29</t>
  </si>
  <si>
    <t xml:space="preserve">Approval requests API</t>
  </si>
  <si>
    <t xml:space="preserve">Approve/reject re-checks policy, executes, audits</t>
  </si>
  <si>
    <t xml:space="preserve">BE-30</t>
  </si>
  <si>
    <t xml:space="preserve">Temporary overrides and kill switch</t>
  </si>
  <si>
    <t xml:space="preserve">Expiry checked at decision time</t>
  </si>
  <si>
    <t xml:space="preserve">Integration settings APIs</t>
  </si>
  <si>
    <t xml:space="preserve">Legal data, calendar, email, storage with test connection</t>
  </si>
  <si>
    <t xml:space="preserve">BE-32</t>
  </si>
  <si>
    <t xml:space="preserve">Model registry and routing API</t>
  </si>
  <si>
    <t xml:space="preserve">Task-to-model mapping without code change</t>
  </si>
  <si>
    <t xml:space="preserve">AI-04</t>
  </si>
  <si>
    <t xml:space="preserve">Audit log</t>
  </si>
  <si>
    <t xml:space="preserve">Immutable record of every agent and user action</t>
  </si>
  <si>
    <t xml:space="preserve">Analytics endpoints</t>
  </si>
  <si>
    <t xml:space="preserve">Only decision-driving metrics</t>
  </si>
  <si>
    <t xml:space="preserve">BE-35</t>
  </si>
  <si>
    <t xml:space="preserve">Deployment and CI</t>
  </si>
  <si>
    <t xml:space="preserve">Docker-free local run today; add CI for lint, tests, build</t>
  </si>
  <si>
    <t xml:space="preserve">Firm setup and invite API</t>
  </si>
  <si>
    <t xml:space="preserve">/auth/setup, /auth/invite/{token}, /auth/accept-invite; tokens stored as SHA-256, single use, 7-day expiry</t>
  </si>
  <si>
    <t xml:space="preserve">BE-37</t>
  </si>
  <si>
    <t xml:space="preserve">Email delivery of invite and reset links</t>
  </si>
  <si>
    <t xml:space="preserve">Today the admin copies the link; send it through EmailProvider</t>
  </si>
  <si>
    <t xml:space="preserve">Email integration</t>
  </si>
  <si>
    <t xml:space="preserve">BE-38</t>
  </si>
  <si>
    <t xml:space="preserve">Login rate limiting</t>
  </si>
  <si>
    <t xml:space="preserve">Throttle repeated failed sign-ins per email and IP</t>
  </si>
  <si>
    <t xml:space="preserve">AI-01</t>
  </si>
  <si>
    <t xml:space="preserve">Provider interfaces</t>
  </si>
  <si>
    <t xml:space="preserve">LLM, Embedding, LegalData, Reranker, Email, Calendar interfaces</t>
  </si>
  <si>
    <t xml:space="preserve">AI-02</t>
  </si>
  <si>
    <t xml:space="preserve">OpenAI-compatible LLM provider</t>
  </si>
  <si>
    <t xml:space="preserve">LangChain ChatOpenAI; works with Ollama, LM Studio, vLLM, OpenAI</t>
  </si>
  <si>
    <t xml:space="preserve">Verified against a stub endpoint only</t>
  </si>
  <si>
    <t xml:space="preserve">AI-03</t>
  </si>
  <si>
    <t xml:space="preserve">OpenAI-compatible embeddings provider</t>
  </si>
  <si>
    <t xml:space="preserve">Fixed dimension 768 in schema</t>
  </si>
  <si>
    <t xml:space="preserve">Provider registry and encrypted config</t>
  </si>
  <si>
    <t xml:space="preserve">Keys encrypted at rest, never returned to browser</t>
  </si>
  <si>
    <t xml:space="preserve">Chunking and embedding pipeline</t>
  </si>
  <si>
    <t xml:space="preserve">Clean, chunk, embed, store with page metadata</t>
  </si>
  <si>
    <t xml:space="preserve">AI-06</t>
  </si>
  <si>
    <t xml:space="preserve">Hybrid retrieval</t>
  </si>
  <si>
    <t xml:space="preserve">pgvector cosine + Postgres full-text, reciprocal rank fusion, top 6</t>
  </si>
  <si>
    <t xml:space="preserve">AI-07</t>
  </si>
  <si>
    <t xml:space="preserve">Answer grounding rules</t>
  </si>
  <si>
    <t xml:space="preserve">System prompt: only from sources, refuse if unsupported, no outcome prediction</t>
  </si>
  <si>
    <t xml:space="preserve">Cited matter Q&amp;A</t>
  </si>
  <si>
    <t xml:space="preserve">Answer with document/page citations</t>
  </si>
  <si>
    <t xml:space="preserve">AI-09</t>
  </si>
  <si>
    <t xml:space="preserve">Validate with a real LLM and embedding model</t>
  </si>
  <si>
    <t xml:space="preserve">Choose models, confirm 768 dim, test on real legal PDFs</t>
  </si>
  <si>
    <t xml:space="preserve">Needs your model choice</t>
  </si>
  <si>
    <t xml:space="preserve">AI-10</t>
  </si>
  <si>
    <t xml:space="preserve">RAG quality evaluation set</t>
  </si>
  <si>
    <t xml:space="preserve">Questions with expected sources; measure citation accuracy and refusals</t>
  </si>
  <si>
    <t xml:space="preserve">AI-11</t>
  </si>
  <si>
    <t xml:space="preserve">Scanned PDF / OCR support</t>
  </si>
  <si>
    <t xml:space="preserve">Current extraction reads text PDFs only</t>
  </si>
  <si>
    <t xml:space="preserve">Matter-to-judgment matching</t>
  </si>
  <si>
    <t xml:space="preserve">Multi-signal score: semantic, provision, court, case type, facts, recency</t>
  </si>
  <si>
    <t xml:space="preserve">Case comparison prompts</t>
  </si>
  <si>
    <t xml:space="preserve">Same / different / impact; never predict outcome; not legal advice</t>
  </si>
  <si>
    <t xml:space="preserve">AI-14</t>
  </si>
  <si>
    <t xml:space="preserve">Reranker provider</t>
  </si>
  <si>
    <t xml:space="preserve">Optional rerank step for retrieval and matching</t>
  </si>
  <si>
    <t xml:space="preserve">AI-15</t>
  </si>
  <si>
    <t xml:space="preserve">Native Anthropic, Google, Azure providers</t>
  </si>
  <si>
    <t xml:space="preserve">Settings lists them but only OpenAI-compatible is implemented</t>
  </si>
  <si>
    <t xml:space="preserve">Agent tool registry</t>
  </si>
  <si>
    <t xml:space="preserve">Controlled tools that call app services only, via policy engine</t>
  </si>
  <si>
    <t xml:space="preserve">AI-17</t>
  </si>
  <si>
    <t xml:space="preserve">LangGraph agents</t>
  </si>
  <si>
    <t xml:space="preserve">Daily Briefing, Matter Intelligence, Legal Research, Scheduling, Task</t>
  </si>
  <si>
    <t xml:space="preserve">Execution modes and human approval</t>
  </si>
  <si>
    <t xml:space="preserve">Suggest / Approval / Autonomous; default approval for risky actions</t>
  </si>
  <si>
    <t xml:space="preserve">AI-19</t>
  </si>
  <si>
    <t xml:space="preserve">Scheduling flow</t>
  </si>
  <si>
    <t xml:space="preserve">Find lawyer, check availability, propose, approve, create, notify, audit</t>
  </si>
  <si>
    <t xml:space="preserve">AI-20</t>
  </si>
  <si>
    <t xml:space="preserve">Permission demo flow</t>
  </si>
  <si>
    <t xml:space="preserve">Delete task blocked while DISABLED, works after policy change</t>
  </si>
  <si>
    <t xml:space="preserve">AI-21</t>
  </si>
  <si>
    <t xml:space="preserve">Daily briefing generation</t>
  </si>
  <si>
    <t xml:space="preserve">Per-user time from profile; stored result</t>
  </si>
  <si>
    <t xml:space="preserve">AI-22</t>
  </si>
  <si>
    <t xml:space="preserve">Model routing per task</t>
  </si>
  <si>
    <t xml:space="preserve">Summary, research, email, classification, embeddings, rerank</t>
  </si>
  <si>
    <t xml:space="preserve">AI-23</t>
  </si>
  <si>
    <t xml:space="preserve">AI usage analytics and cost tracking</t>
  </si>
  <si>
    <t xml:space="preserve">Calls, approvals, blocks, model usage</t>
  </si>
  <si>
    <t xml:space="preserve">AI-24</t>
  </si>
  <si>
    <t xml:space="preserve">Prompt-injection and data-leak guards</t>
  </si>
  <si>
    <t xml:space="preserve">Treat document and eCourts text as untrusted; tool args validated server-side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</si>
</sst>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5E7EB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COUNTIF(Frontend!$E:$E,"Done")</f>
        <v>15</v>
      </c>
      <c r="C5" s="6" t="n">
        <f aca="false">COUNTIF(Frontend!$E:$E,"In Progress")</f>
        <v>1</v>
      </c>
      <c r="D5" s="6" t="n">
        <f aca="false">COUNTIF(Frontend!$E:$E,"Not Started")</f>
        <v>14</v>
      </c>
      <c r="E5" s="6" t="n">
        <f aca="false">COUNTIF(Frontend!$E:$E,"Blocked")</f>
        <v>0</v>
      </c>
      <c r="F5" s="6" t="n">
        <f aca="false">SUM(B5:E5)</f>
        <v>30</v>
      </c>
      <c r="G5" s="7" t="n">
        <f aca="false">IF(F5=0,0,B5/F5)</f>
        <v>0.5</v>
      </c>
    </row>
    <row r="6" customFormat="false" ht="15" hidden="false" customHeight="true" outlineLevel="0" collapsed="false">
      <c r="A6" s="5" t="s">
        <v>10</v>
      </c>
      <c r="B6" s="6" t="n">
        <f aca="false">COUNTIF(Backend!$E:$E,"Done")</f>
        <v>16</v>
      </c>
      <c r="C6" s="6" t="n">
        <f aca="false">COUNTIF(Backend!$E:$E,"In Progress")</f>
        <v>0</v>
      </c>
      <c r="D6" s="6" t="n">
        <f aca="false">COUNTIF(Backend!$E:$E,"Not Started")</f>
        <v>21</v>
      </c>
      <c r="E6" s="6" t="n">
        <f aca="false">COUNTIF(Backend!$E:$E,"Blocked")</f>
        <v>1</v>
      </c>
      <c r="F6" s="6" t="n">
        <f aca="false">SUM(B6:E6)</f>
        <v>38</v>
      </c>
      <c r="G6" s="7" t="n">
        <f aca="false">IF(F6=0,0,B6/F6)</f>
        <v>0.421052631578947</v>
      </c>
    </row>
    <row r="7" customFormat="false" ht="15" hidden="false" customHeight="true" outlineLevel="0" collapsed="false">
      <c r="A7" s="5" t="s">
        <v>11</v>
      </c>
      <c r="B7" s="6" t="n">
        <f aca="false">COUNTIF(AI!$E:$E,"Done")</f>
        <v>8</v>
      </c>
      <c r="C7" s="6" t="n">
        <f aca="false">COUNTIF(AI!$E:$E,"In Progress")</f>
        <v>0</v>
      </c>
      <c r="D7" s="6" t="n">
        <f aca="false">COUNTIF(AI!$E:$E,"Not Started")</f>
        <v>16</v>
      </c>
      <c r="E7" s="6" t="n">
        <f aca="false">COUNTIF(AI!$E:$E,"Blocked")</f>
        <v>0</v>
      </c>
      <c r="F7" s="6" t="n">
        <f aca="false">SUM(B7:E7)</f>
        <v>24</v>
      </c>
      <c r="G7" s="7" t="n">
        <f aca="false">IF(F7=0,0,B7/F7)</f>
        <v>0.333333333333333</v>
      </c>
    </row>
    <row r="8" customFormat="false" ht="15" hidden="false" customHeight="true" outlineLevel="0" collapsed="false">
      <c r="A8" s="8" t="s">
        <v>7</v>
      </c>
      <c r="B8" s="9" t="n">
        <f aca="false">SUM(B5:B7)</f>
        <v>39</v>
      </c>
      <c r="C8" s="9" t="n">
        <f aca="false">SUM(C5:C7)</f>
        <v>1</v>
      </c>
      <c r="D8" s="9" t="n">
        <f aca="false">SUM(D5:D7)</f>
        <v>51</v>
      </c>
      <c r="E8" s="9" t="n">
        <f aca="false">SUM(E5:E7)</f>
        <v>1</v>
      </c>
      <c r="F8" s="9" t="n">
        <f aca="false">SUM(F5:F7)</f>
        <v>92</v>
      </c>
      <c r="G8" s="10" t="n">
        <f aca="false">IF(F8=0,0,B8/F8)</f>
        <v>0.423913043478261</v>
      </c>
    </row>
    <row r="10" customFormat="false" ht="15" hidden="false" customHeight="true" outlineLevel="0" collapsed="false">
      <c r="A10" s="11" t="s">
        <v>12</v>
      </c>
    </row>
    <row r="11" customFormat="false" ht="15" hidden="false" customHeight="true" outlineLevel="0" collapsed="false">
      <c r="A11" s="4" t="s">
        <v>13</v>
      </c>
      <c r="B11" s="4" t="s">
        <v>3</v>
      </c>
      <c r="C11" s="4" t="s">
        <v>7</v>
      </c>
      <c r="D11" s="4" t="s">
        <v>8</v>
      </c>
    </row>
    <row r="12" customFormat="false" ht="15" hidden="false" customHeight="true" outlineLevel="0" collapsed="false">
      <c r="A12" s="5" t="s">
        <v>14</v>
      </c>
      <c r="B12" s="6" t="n">
        <f aca="false">COUNTIFS(Frontend!$B:$B,$A12,Frontend!$E:$E,"Done")+COUNTIFS(Backend!$B:$B,$A12,Backend!$E:$E,"Done")+COUNTIFS(AI!$B:$B,$A12,AI!$E:$E,"Done")</f>
        <v>6</v>
      </c>
      <c r="C12" s="6" t="n">
        <f aca="false">COUNTIF(Frontend!$B:$B,$A12)+COUNTIF(Backend!$B:$B,$A12)+COUNTIF(AI!$B:$B,$A12)</f>
        <v>7</v>
      </c>
      <c r="D12" s="7" t="n">
        <f aca="false">IF(C12=0,0,B12/C12)</f>
        <v>0.857142857142857</v>
      </c>
    </row>
    <row r="13" customFormat="false" ht="15" hidden="false" customHeight="true" outlineLevel="0" collapsed="false">
      <c r="A13" s="5" t="s">
        <v>15</v>
      </c>
      <c r="B13" s="6" t="n">
        <f aca="false">COUNTIFS(Frontend!$B:$B,$A13,Frontend!$E:$E,"Done")+COUNTIFS(Backend!$B:$B,$A13,Backend!$E:$E,"Done")+COUNTIFS(AI!$B:$B,$A13,AI!$E:$E,"Done")</f>
        <v>30</v>
      </c>
      <c r="C13" s="6" t="n">
        <f aca="false">COUNTIF(Frontend!$B:$B,$A13)+COUNTIF(Backend!$B:$B,$A13)+COUNTIF(AI!$B:$B,$A13)</f>
        <v>38</v>
      </c>
      <c r="D13" s="7" t="n">
        <f aca="false">IF(C13=0,0,B13/C13)</f>
        <v>0.789473684210526</v>
      </c>
    </row>
    <row r="14" customFormat="false" ht="15" hidden="false" customHeight="true" outlineLevel="0" collapsed="false">
      <c r="A14" s="5" t="s">
        <v>16</v>
      </c>
      <c r="B14" s="6" t="n">
        <f aca="false">COUNTIFS(Frontend!$B:$B,$A14,Frontend!$E:$E,"Done")+COUNTIFS(Backend!$B:$B,$A14,Backend!$E:$E,"Done")+COUNTIFS(AI!$B:$B,$A14,AI!$E:$E,"Done")</f>
        <v>0</v>
      </c>
      <c r="C14" s="6" t="n">
        <f aca="false">COUNTIF(Frontend!$B:$B,$A14)+COUNTIF(Backend!$B:$B,$A14)+COUNTIF(AI!$B:$B,$A14)</f>
        <v>10</v>
      </c>
      <c r="D14" s="7" t="n">
        <f aca="false">IF(C14=0,0,B14/C14)</f>
        <v>0</v>
      </c>
    </row>
    <row r="15" customFormat="false" ht="15" hidden="false" customHeight="true" outlineLevel="0" collapsed="false">
      <c r="A15" s="5" t="s">
        <v>17</v>
      </c>
      <c r="B15" s="6" t="n">
        <f aca="false">COUNTIFS(Frontend!$B:$B,$A15,Frontend!$E:$E,"Done")+COUNTIFS(Backend!$B:$B,$A15,Backend!$E:$E,"Done")+COUNTIFS(AI!$B:$B,$A15,AI!$E:$E,"Done")</f>
        <v>0</v>
      </c>
      <c r="C15" s="6" t="n">
        <f aca="false">COUNTIF(Frontend!$B:$B,$A15)+COUNTIF(Backend!$B:$B,$A15)+COUNTIF(AI!$B:$B,$A15)</f>
        <v>11</v>
      </c>
      <c r="D15" s="7" t="n">
        <f aca="false">IF(C15=0,0,B15/C15)</f>
        <v>0</v>
      </c>
    </row>
    <row r="16" customFormat="false" ht="15" hidden="false" customHeight="true" outlineLevel="0" collapsed="false">
      <c r="A16" s="5" t="s">
        <v>18</v>
      </c>
      <c r="B16" s="6" t="n">
        <f aca="false">COUNTIFS(Frontend!$B:$B,$A16,Frontend!$E:$E,"Done")+COUNTIFS(Backend!$B:$B,$A16,Backend!$E:$E,"Done")+COUNTIFS(AI!$B:$B,$A16,AI!$E:$E,"Done")</f>
        <v>0</v>
      </c>
      <c r="C16" s="6" t="n">
        <f aca="false">COUNTIF(Frontend!$B:$B,$A16)+COUNTIF(Backend!$B:$B,$A16)+COUNTIF(AI!$B:$B,$A16)</f>
        <v>10</v>
      </c>
      <c r="D16" s="7" t="n">
        <f aca="false">IF(C16=0,0,B16/C16)</f>
        <v>0</v>
      </c>
    </row>
    <row r="17" customFormat="false" ht="15" hidden="false" customHeight="true" outlineLevel="0" collapsed="false">
      <c r="A17" s="5" t="s">
        <v>19</v>
      </c>
      <c r="B17" s="6" t="n">
        <f aca="false">COUNTIFS(Frontend!$B:$B,$A17,Frontend!$E:$E,"Done")+COUNTIFS(Backend!$B:$B,$A17,Backend!$E:$E,"Done")+COUNTIFS(AI!$B:$B,$A17,AI!$E:$E,"Done")</f>
        <v>3</v>
      </c>
      <c r="C17" s="6" t="n">
        <f aca="false">COUNTIF(Frontend!$B:$B,$A17)+COUNTIF(Backend!$B:$B,$A17)+COUNTIF(AI!$B:$B,$A17)</f>
        <v>16</v>
      </c>
      <c r="D17" s="7" t="n">
        <f aca="false">IF(C17=0,0,B17/C17)</f>
        <v>0.1875</v>
      </c>
    </row>
    <row r="19" customFormat="false" ht="15" hidden="false" customHeight="true" outlineLevel="0" collapsed="false">
      <c r="A19" s="11" t="s">
        <v>20</v>
      </c>
    </row>
    <row r="20" customFormat="false" ht="15" hidden="false" customHeight="true" outlineLevel="0" collapsed="false">
      <c r="A20" s="12" t="s">
        <v>21</v>
      </c>
    </row>
    <row r="21" customFormat="false" ht="15" hidden="false" customHeight="true" outlineLevel="0" collapsed="false">
      <c r="A21" s="12" t="s">
        <v>22</v>
      </c>
    </row>
    <row r="22" customFormat="false" ht="15" hidden="false" customHeight="true" outlineLevel="0" collapsed="false">
      <c r="A22" s="12" t="s">
        <v>23</v>
      </c>
    </row>
    <row r="24" customFormat="false" ht="15" hidden="false" customHeight="true" outlineLevel="0" collapsed="false">
      <c r="A2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5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34"/>
    <col collapsed="false" customWidth="true" hidden="false" outlineLevel="0" max="8" min="8" style="1" width="14"/>
    <col collapsed="false" customWidth="true" hidden="false" outlineLevel="0" max="9" min="9" style="1" width="13"/>
  </cols>
  <sheetData>
    <row r="1" customFormat="false" ht="21.75" hidden="false" customHeight="true" outlineLevel="0" collapsed="false">
      <c r="A1" s="13" t="s">
        <v>25</v>
      </c>
      <c r="B1" s="13" t="s">
        <v>13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</row>
    <row r="2" customFormat="false" ht="23.25" hidden="false" customHeight="true" outlineLevel="0" collapsed="false">
      <c r="A2" s="14" t="s">
        <v>33</v>
      </c>
      <c r="B2" s="14" t="s">
        <v>14</v>
      </c>
      <c r="C2" s="14" t="s">
        <v>34</v>
      </c>
      <c r="D2" s="14" t="s">
        <v>35</v>
      </c>
      <c r="E2" s="14" t="s">
        <v>3</v>
      </c>
      <c r="F2" s="14" t="s">
        <v>36</v>
      </c>
      <c r="G2" s="14"/>
      <c r="H2" s="14"/>
      <c r="I2" s="15"/>
    </row>
    <row r="3" customFormat="false" ht="15" hidden="false" customHeight="true" outlineLevel="0" collapsed="false">
      <c r="A3" s="14" t="s">
        <v>37</v>
      </c>
      <c r="B3" s="14" t="s">
        <v>14</v>
      </c>
      <c r="C3" s="14" t="s">
        <v>38</v>
      </c>
      <c r="D3" s="14" t="s">
        <v>39</v>
      </c>
      <c r="E3" s="14" t="s">
        <v>3</v>
      </c>
      <c r="F3" s="14" t="s">
        <v>36</v>
      </c>
      <c r="G3" s="14"/>
      <c r="H3" s="14"/>
      <c r="I3" s="15"/>
    </row>
    <row r="4" customFormat="false" ht="15" hidden="false" customHeight="true" outlineLevel="0" collapsed="false">
      <c r="A4" s="14" t="s">
        <v>40</v>
      </c>
      <c r="B4" s="14" t="s">
        <v>15</v>
      </c>
      <c r="C4" s="14" t="s">
        <v>41</v>
      </c>
      <c r="D4" s="14" t="s">
        <v>42</v>
      </c>
      <c r="E4" s="14" t="s">
        <v>3</v>
      </c>
      <c r="F4" s="14" t="s">
        <v>36</v>
      </c>
      <c r="G4" s="14" t="s">
        <v>43</v>
      </c>
      <c r="H4" s="14"/>
      <c r="I4" s="15"/>
    </row>
    <row r="5" customFormat="false" ht="15" hidden="false" customHeight="true" outlineLevel="0" collapsed="false">
      <c r="A5" s="14" t="s">
        <v>44</v>
      </c>
      <c r="B5" s="14" t="s">
        <v>15</v>
      </c>
      <c r="C5" s="14" t="s">
        <v>45</v>
      </c>
      <c r="D5" s="14" t="s">
        <v>46</v>
      </c>
      <c r="E5" s="14" t="s">
        <v>3</v>
      </c>
      <c r="F5" s="14" t="s">
        <v>36</v>
      </c>
      <c r="G5" s="14" t="s">
        <v>47</v>
      </c>
      <c r="H5" s="14"/>
      <c r="I5" s="15"/>
    </row>
    <row r="6" customFormat="false" ht="15" hidden="false" customHeight="true" outlineLevel="0" collapsed="false">
      <c r="A6" s="14" t="s">
        <v>48</v>
      </c>
      <c r="B6" s="14" t="s">
        <v>15</v>
      </c>
      <c r="C6" s="14" t="s">
        <v>49</v>
      </c>
      <c r="D6" s="14" t="s">
        <v>50</v>
      </c>
      <c r="E6" s="14" t="s">
        <v>3</v>
      </c>
      <c r="F6" s="14" t="s">
        <v>36</v>
      </c>
      <c r="G6" s="14" t="s">
        <v>47</v>
      </c>
      <c r="H6" s="14"/>
      <c r="I6" s="15"/>
    </row>
    <row r="7" customFormat="false" ht="15" hidden="false" customHeight="true" outlineLevel="0" collapsed="false">
      <c r="A7" s="14" t="s">
        <v>51</v>
      </c>
      <c r="B7" s="14" t="s">
        <v>15</v>
      </c>
      <c r="C7" s="14" t="s">
        <v>52</v>
      </c>
      <c r="D7" s="14" t="s">
        <v>53</v>
      </c>
      <c r="E7" s="14" t="s">
        <v>3</v>
      </c>
      <c r="F7" s="14" t="s">
        <v>54</v>
      </c>
      <c r="G7" s="14" t="s">
        <v>55</v>
      </c>
      <c r="H7" s="14"/>
      <c r="I7" s="15"/>
    </row>
    <row r="8" customFormat="false" ht="15" hidden="false" customHeight="true" outlineLevel="0" collapsed="false">
      <c r="A8" s="14" t="s">
        <v>56</v>
      </c>
      <c r="B8" s="14" t="s">
        <v>15</v>
      </c>
      <c r="C8" s="14" t="s">
        <v>57</v>
      </c>
      <c r="D8" s="14" t="s">
        <v>58</v>
      </c>
      <c r="E8" s="14" t="s">
        <v>3</v>
      </c>
      <c r="F8" s="14" t="s">
        <v>36</v>
      </c>
      <c r="G8" s="14" t="s">
        <v>59</v>
      </c>
      <c r="H8" s="14"/>
      <c r="I8" s="15"/>
    </row>
    <row r="9" customFormat="false" ht="15" hidden="false" customHeight="true" outlineLevel="0" collapsed="false">
      <c r="A9" s="14" t="s">
        <v>60</v>
      </c>
      <c r="B9" s="14" t="s">
        <v>15</v>
      </c>
      <c r="C9" s="14" t="s">
        <v>61</v>
      </c>
      <c r="D9" s="14" t="s">
        <v>62</v>
      </c>
      <c r="E9" s="14" t="s">
        <v>3</v>
      </c>
      <c r="F9" s="14" t="s">
        <v>36</v>
      </c>
      <c r="G9" s="14" t="s">
        <v>63</v>
      </c>
      <c r="H9" s="14"/>
      <c r="I9" s="15"/>
    </row>
    <row r="10" customFormat="false" ht="15" hidden="false" customHeight="true" outlineLevel="0" collapsed="false">
      <c r="A10" s="14" t="s">
        <v>64</v>
      </c>
      <c r="B10" s="14" t="s">
        <v>15</v>
      </c>
      <c r="C10" s="14" t="s">
        <v>65</v>
      </c>
      <c r="D10" s="14" t="s">
        <v>66</v>
      </c>
      <c r="E10" s="14" t="s">
        <v>3</v>
      </c>
      <c r="F10" s="14" t="s">
        <v>54</v>
      </c>
      <c r="G10" s="14" t="s">
        <v>67</v>
      </c>
      <c r="H10" s="14"/>
      <c r="I10" s="15"/>
    </row>
    <row r="11" customFormat="false" ht="15" hidden="false" customHeight="true" outlineLevel="0" collapsed="false">
      <c r="A11" s="14" t="s">
        <v>68</v>
      </c>
      <c r="B11" s="14" t="s">
        <v>15</v>
      </c>
      <c r="C11" s="14" t="s">
        <v>69</v>
      </c>
      <c r="D11" s="14" t="s">
        <v>70</v>
      </c>
      <c r="E11" s="14" t="s">
        <v>3</v>
      </c>
      <c r="F11" s="14" t="s">
        <v>54</v>
      </c>
      <c r="G11" s="14" t="s">
        <v>71</v>
      </c>
      <c r="H11" s="14"/>
      <c r="I11" s="15"/>
    </row>
    <row r="12" customFormat="false" ht="15" hidden="false" customHeight="true" outlineLevel="0" collapsed="false">
      <c r="A12" s="14" t="s">
        <v>72</v>
      </c>
      <c r="B12" s="14" t="s">
        <v>15</v>
      </c>
      <c r="C12" s="14" t="s">
        <v>73</v>
      </c>
      <c r="D12" s="14" t="s">
        <v>74</v>
      </c>
      <c r="E12" s="14" t="s">
        <v>3</v>
      </c>
      <c r="F12" s="14" t="s">
        <v>54</v>
      </c>
      <c r="G12" s="14" t="s">
        <v>75</v>
      </c>
      <c r="H12" s="14"/>
      <c r="I12" s="15"/>
    </row>
    <row r="13" customFormat="false" ht="15" hidden="false" customHeight="true" outlineLevel="0" collapsed="false">
      <c r="A13" s="14" t="s">
        <v>76</v>
      </c>
      <c r="B13" s="14" t="s">
        <v>19</v>
      </c>
      <c r="C13" s="14" t="s">
        <v>77</v>
      </c>
      <c r="D13" s="14" t="s">
        <v>78</v>
      </c>
      <c r="E13" s="14" t="s">
        <v>3</v>
      </c>
      <c r="F13" s="14" t="s">
        <v>36</v>
      </c>
      <c r="G13" s="14" t="s">
        <v>79</v>
      </c>
      <c r="H13" s="14"/>
      <c r="I13" s="15"/>
    </row>
    <row r="14" customFormat="false" ht="23.25" hidden="false" customHeight="true" outlineLevel="0" collapsed="false">
      <c r="A14" s="14" t="s">
        <v>80</v>
      </c>
      <c r="B14" s="14" t="s">
        <v>15</v>
      </c>
      <c r="C14" s="14" t="s">
        <v>81</v>
      </c>
      <c r="D14" s="14" t="s">
        <v>82</v>
      </c>
      <c r="E14" s="14" t="s">
        <v>4</v>
      </c>
      <c r="F14" s="14" t="s">
        <v>83</v>
      </c>
      <c r="G14" s="14" t="s">
        <v>84</v>
      </c>
      <c r="H14" s="14"/>
      <c r="I14" s="15"/>
    </row>
    <row r="15" customFormat="false" ht="15" hidden="false" customHeight="true" outlineLevel="0" collapsed="false">
      <c r="A15" s="14" t="s">
        <v>85</v>
      </c>
      <c r="B15" s="14" t="s">
        <v>15</v>
      </c>
      <c r="C15" s="14" t="s">
        <v>86</v>
      </c>
      <c r="D15" s="14" t="s">
        <v>87</v>
      </c>
      <c r="E15" s="14" t="s">
        <v>5</v>
      </c>
      <c r="F15" s="14" t="s">
        <v>54</v>
      </c>
      <c r="G15" s="14"/>
      <c r="H15" s="14"/>
      <c r="I15" s="15"/>
    </row>
    <row r="16" customFormat="false" ht="15" hidden="false" customHeight="true" outlineLevel="0" collapsed="false">
      <c r="A16" s="14" t="s">
        <v>88</v>
      </c>
      <c r="B16" s="14" t="s">
        <v>16</v>
      </c>
      <c r="C16" s="14" t="s">
        <v>89</v>
      </c>
      <c r="D16" s="14" t="s">
        <v>90</v>
      </c>
      <c r="E16" s="14" t="s">
        <v>5</v>
      </c>
      <c r="F16" s="14" t="s">
        <v>36</v>
      </c>
      <c r="G16" s="14" t="s">
        <v>91</v>
      </c>
      <c r="H16" s="14"/>
      <c r="I16" s="15"/>
    </row>
    <row r="17" customFormat="false" ht="15" hidden="false" customHeight="true" outlineLevel="0" collapsed="false">
      <c r="A17" s="14" t="s">
        <v>92</v>
      </c>
      <c r="B17" s="14" t="s">
        <v>16</v>
      </c>
      <c r="C17" s="14" t="s">
        <v>93</v>
      </c>
      <c r="D17" s="14" t="s">
        <v>94</v>
      </c>
      <c r="E17" s="14" t="s">
        <v>5</v>
      </c>
      <c r="F17" s="14" t="s">
        <v>36</v>
      </c>
      <c r="G17" s="14" t="s">
        <v>95</v>
      </c>
      <c r="H17" s="14"/>
      <c r="I17" s="15"/>
    </row>
    <row r="18" customFormat="false" ht="15" hidden="false" customHeight="true" outlineLevel="0" collapsed="false">
      <c r="A18" s="14" t="s">
        <v>96</v>
      </c>
      <c r="B18" s="14" t="s">
        <v>17</v>
      </c>
      <c r="C18" s="14" t="s">
        <v>97</v>
      </c>
      <c r="D18" s="14" t="s">
        <v>98</v>
      </c>
      <c r="E18" s="14" t="s">
        <v>5</v>
      </c>
      <c r="F18" s="14" t="s">
        <v>36</v>
      </c>
      <c r="G18" s="14" t="s">
        <v>99</v>
      </c>
      <c r="H18" s="14"/>
      <c r="I18" s="15"/>
    </row>
    <row r="19" customFormat="false" ht="15" hidden="false" customHeight="true" outlineLevel="0" collapsed="false">
      <c r="A19" s="14" t="s">
        <v>100</v>
      </c>
      <c r="B19" s="14" t="s">
        <v>17</v>
      </c>
      <c r="C19" s="14" t="s">
        <v>101</v>
      </c>
      <c r="D19" s="14" t="s">
        <v>102</v>
      </c>
      <c r="E19" s="14" t="s">
        <v>5</v>
      </c>
      <c r="F19" s="14" t="s">
        <v>36</v>
      </c>
      <c r="G19" s="14" t="s">
        <v>103</v>
      </c>
      <c r="H19" s="14"/>
      <c r="I19" s="15"/>
    </row>
    <row r="20" customFormat="false" ht="15" hidden="false" customHeight="true" outlineLevel="0" collapsed="false">
      <c r="A20" s="14" t="s">
        <v>104</v>
      </c>
      <c r="B20" s="14" t="s">
        <v>17</v>
      </c>
      <c r="C20" s="14" t="s">
        <v>105</v>
      </c>
      <c r="D20" s="14" t="s">
        <v>106</v>
      </c>
      <c r="E20" s="14" t="s">
        <v>5</v>
      </c>
      <c r="F20" s="14" t="s">
        <v>54</v>
      </c>
      <c r="G20" s="14" t="s">
        <v>107</v>
      </c>
      <c r="H20" s="14"/>
      <c r="I20" s="15"/>
    </row>
    <row r="21" customFormat="false" ht="15" hidden="false" customHeight="true" outlineLevel="0" collapsed="false">
      <c r="A21" s="14" t="s">
        <v>108</v>
      </c>
      <c r="B21" s="14" t="s">
        <v>17</v>
      </c>
      <c r="C21" s="14" t="s">
        <v>109</v>
      </c>
      <c r="D21" s="14" t="s">
        <v>110</v>
      </c>
      <c r="E21" s="14" t="s">
        <v>5</v>
      </c>
      <c r="F21" s="14" t="s">
        <v>36</v>
      </c>
      <c r="G21" s="14" t="s">
        <v>111</v>
      </c>
      <c r="H21" s="14"/>
      <c r="I21" s="15"/>
    </row>
    <row r="22" customFormat="false" ht="15" hidden="false" customHeight="true" outlineLevel="0" collapsed="false">
      <c r="A22" s="14" t="s">
        <v>112</v>
      </c>
      <c r="B22" s="14" t="s">
        <v>17</v>
      </c>
      <c r="C22" s="14" t="s">
        <v>113</v>
      </c>
      <c r="D22" s="14" t="s">
        <v>114</v>
      </c>
      <c r="E22" s="14" t="s">
        <v>5</v>
      </c>
      <c r="F22" s="14" t="s">
        <v>54</v>
      </c>
      <c r="G22" s="14" t="s">
        <v>115</v>
      </c>
      <c r="H22" s="14"/>
      <c r="I22" s="15"/>
    </row>
    <row r="23" customFormat="false" ht="15" hidden="false" customHeight="true" outlineLevel="0" collapsed="false">
      <c r="A23" s="14" t="s">
        <v>116</v>
      </c>
      <c r="B23" s="14" t="s">
        <v>18</v>
      </c>
      <c r="C23" s="14" t="s">
        <v>117</v>
      </c>
      <c r="D23" s="14" t="s">
        <v>118</v>
      </c>
      <c r="E23" s="14" t="s">
        <v>5</v>
      </c>
      <c r="F23" s="14" t="s">
        <v>36</v>
      </c>
      <c r="G23" s="14" t="s">
        <v>119</v>
      </c>
      <c r="H23" s="14"/>
      <c r="I23" s="15"/>
    </row>
    <row r="24" customFormat="false" ht="15" hidden="false" customHeight="true" outlineLevel="0" collapsed="false">
      <c r="A24" s="14" t="s">
        <v>120</v>
      </c>
      <c r="B24" s="14" t="s">
        <v>19</v>
      </c>
      <c r="C24" s="14" t="s">
        <v>121</v>
      </c>
      <c r="D24" s="14" t="s">
        <v>122</v>
      </c>
      <c r="E24" s="14" t="s">
        <v>5</v>
      </c>
      <c r="F24" s="14" t="s">
        <v>54</v>
      </c>
      <c r="G24" s="14" t="s">
        <v>123</v>
      </c>
      <c r="H24" s="14"/>
      <c r="I24" s="15"/>
    </row>
    <row r="25" customFormat="false" ht="15" hidden="false" customHeight="true" outlineLevel="0" collapsed="false">
      <c r="A25" s="14" t="s">
        <v>124</v>
      </c>
      <c r="B25" s="14" t="s">
        <v>19</v>
      </c>
      <c r="C25" s="14" t="s">
        <v>125</v>
      </c>
      <c r="D25" s="14" t="s">
        <v>126</v>
      </c>
      <c r="E25" s="14" t="s">
        <v>5</v>
      </c>
      <c r="F25" s="14" t="s">
        <v>36</v>
      </c>
      <c r="G25" s="14" t="s">
        <v>127</v>
      </c>
      <c r="H25" s="14"/>
      <c r="I25" s="15"/>
    </row>
    <row r="26" customFormat="false" ht="15" hidden="false" customHeight="true" outlineLevel="0" collapsed="false">
      <c r="A26" s="14" t="s">
        <v>128</v>
      </c>
      <c r="B26" s="14" t="s">
        <v>19</v>
      </c>
      <c r="C26" s="14" t="s">
        <v>129</v>
      </c>
      <c r="D26" s="14"/>
      <c r="E26" s="14" t="s">
        <v>5</v>
      </c>
      <c r="F26" s="14" t="s">
        <v>83</v>
      </c>
      <c r="G26" s="14"/>
      <c r="H26" s="14"/>
      <c r="I26" s="15"/>
    </row>
    <row r="27" customFormat="false" ht="15" hidden="false" customHeight="true" outlineLevel="0" collapsed="false">
      <c r="A27" s="14" t="s">
        <v>130</v>
      </c>
      <c r="B27" s="14" t="s">
        <v>19</v>
      </c>
      <c r="C27" s="14" t="s">
        <v>131</v>
      </c>
      <c r="D27" s="14" t="s">
        <v>132</v>
      </c>
      <c r="E27" s="14" t="s">
        <v>5</v>
      </c>
      <c r="F27" s="14" t="s">
        <v>54</v>
      </c>
      <c r="G27" s="14" t="s">
        <v>133</v>
      </c>
      <c r="H27" s="14"/>
      <c r="I27" s="15"/>
    </row>
    <row r="28" customFormat="false" ht="15" hidden="false" customHeight="true" outlineLevel="0" collapsed="false">
      <c r="A28" s="14" t="s">
        <v>134</v>
      </c>
      <c r="B28" s="14" t="s">
        <v>19</v>
      </c>
      <c r="C28" s="14" t="s">
        <v>135</v>
      </c>
      <c r="D28" s="14" t="s">
        <v>136</v>
      </c>
      <c r="E28" s="14" t="s">
        <v>5</v>
      </c>
      <c r="F28" s="14" t="s">
        <v>83</v>
      </c>
      <c r="G28" s="14" t="s">
        <v>137</v>
      </c>
      <c r="H28" s="14"/>
      <c r="I28" s="15"/>
    </row>
    <row r="29" customFormat="false" ht="15" hidden="false" customHeight="true" outlineLevel="0" collapsed="false">
      <c r="A29" s="14" t="s">
        <v>138</v>
      </c>
      <c r="B29" s="14" t="s">
        <v>15</v>
      </c>
      <c r="C29" s="14" t="s">
        <v>139</v>
      </c>
      <c r="D29" s="14" t="s">
        <v>140</v>
      </c>
      <c r="E29" s="14" t="s">
        <v>3</v>
      </c>
      <c r="F29" s="14" t="s">
        <v>54</v>
      </c>
      <c r="G29" s="14" t="s">
        <v>141</v>
      </c>
      <c r="H29" s="14"/>
      <c r="I29" s="15"/>
    </row>
    <row r="30" customFormat="false" ht="23.85" hidden="false" customHeight="false" outlineLevel="0" collapsed="false">
      <c r="A30" s="14" t="s">
        <v>142</v>
      </c>
      <c r="B30" s="14" t="s">
        <v>15</v>
      </c>
      <c r="C30" s="14" t="s">
        <v>143</v>
      </c>
      <c r="D30" s="14" t="s">
        <v>144</v>
      </c>
      <c r="E30" s="14" t="s">
        <v>3</v>
      </c>
      <c r="F30" s="14" t="s">
        <v>36</v>
      </c>
      <c r="G30" s="14" t="s">
        <v>145</v>
      </c>
      <c r="H30" s="14"/>
      <c r="I30" s="15"/>
    </row>
    <row r="31" customFormat="false" ht="23.85" hidden="false" customHeight="false" outlineLevel="0" collapsed="false">
      <c r="A31" s="14" t="s">
        <v>146</v>
      </c>
      <c r="B31" s="14" t="s">
        <v>15</v>
      </c>
      <c r="C31" s="14" t="s">
        <v>147</v>
      </c>
      <c r="D31" s="14" t="s">
        <v>148</v>
      </c>
      <c r="E31" s="14" t="s">
        <v>3</v>
      </c>
      <c r="F31" s="14" t="s">
        <v>36</v>
      </c>
      <c r="G31" s="14" t="s">
        <v>145</v>
      </c>
      <c r="H31" s="14"/>
      <c r="I31" s="15"/>
    </row>
  </sheetData>
  <autoFilter ref="A1:I31"/>
  <conditionalFormatting sqref="E2:E129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9">
      <formula>"Blocked"</formula>
    </cfRule>
  </conditionalFormatting>
  <dataValidations count="2">
    <dataValidation allowBlank="false" errorStyle="stop" operator="between" showDropDown="false" showErrorMessage="false" showInputMessage="false" sqref="E2:E129" type="list">
      <formula1>"Done,In Progress,Not Started,Blocked"</formula1>
      <formula2>0</formula2>
    </dataValidation>
    <dataValidation allowBlank="false" errorStyle="stop" operator="between" showDropDown="false" showErrorMessage="false" showInputMessage="false" sqref="F2:F12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5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34"/>
    <col collapsed="false" customWidth="true" hidden="false" outlineLevel="0" max="8" min="8" style="1" width="14"/>
    <col collapsed="false" customWidth="true" hidden="false" outlineLevel="0" max="9" min="9" style="1" width="13"/>
  </cols>
  <sheetData>
    <row r="1" customFormat="false" ht="21.75" hidden="false" customHeight="true" outlineLevel="0" collapsed="false">
      <c r="A1" s="13" t="s">
        <v>25</v>
      </c>
      <c r="B1" s="13" t="s">
        <v>13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</row>
    <row r="2" customFormat="false" ht="15" hidden="false" customHeight="true" outlineLevel="0" collapsed="false">
      <c r="A2" s="14" t="s">
        <v>149</v>
      </c>
      <c r="B2" s="14" t="s">
        <v>14</v>
      </c>
      <c r="C2" s="14" t="s">
        <v>150</v>
      </c>
      <c r="D2" s="14" t="s">
        <v>151</v>
      </c>
      <c r="E2" s="14" t="s">
        <v>3</v>
      </c>
      <c r="F2" s="14" t="s">
        <v>36</v>
      </c>
      <c r="G2" s="14"/>
      <c r="H2" s="14"/>
      <c r="I2" s="15"/>
    </row>
    <row r="3" customFormat="false" ht="15" hidden="false" customHeight="true" outlineLevel="0" collapsed="false">
      <c r="A3" s="14" t="s">
        <v>152</v>
      </c>
      <c r="B3" s="14" t="s">
        <v>14</v>
      </c>
      <c r="C3" s="14" t="s">
        <v>153</v>
      </c>
      <c r="D3" s="14" t="s">
        <v>154</v>
      </c>
      <c r="E3" s="14" t="s">
        <v>3</v>
      </c>
      <c r="F3" s="14" t="s">
        <v>36</v>
      </c>
      <c r="G3" s="14"/>
      <c r="H3" s="14"/>
      <c r="I3" s="15"/>
    </row>
    <row r="4" customFormat="false" ht="15" hidden="false" customHeight="true" outlineLevel="0" collapsed="false">
      <c r="A4" s="14" t="s">
        <v>155</v>
      </c>
      <c r="B4" s="14" t="s">
        <v>14</v>
      </c>
      <c r="C4" s="14" t="s">
        <v>156</v>
      </c>
      <c r="D4" s="14" t="s">
        <v>157</v>
      </c>
      <c r="E4" s="14" t="s">
        <v>3</v>
      </c>
      <c r="F4" s="14" t="s">
        <v>36</v>
      </c>
      <c r="G4" s="14" t="s">
        <v>158</v>
      </c>
      <c r="H4" s="14"/>
      <c r="I4" s="15"/>
    </row>
    <row r="5" customFormat="false" ht="15" hidden="false" customHeight="true" outlineLevel="0" collapsed="false">
      <c r="A5" s="14" t="s">
        <v>43</v>
      </c>
      <c r="B5" s="14" t="s">
        <v>15</v>
      </c>
      <c r="C5" s="14" t="s">
        <v>159</v>
      </c>
      <c r="D5" s="14" t="s">
        <v>160</v>
      </c>
      <c r="E5" s="14" t="s">
        <v>3</v>
      </c>
      <c r="F5" s="14" t="s">
        <v>36</v>
      </c>
      <c r="G5" s="14"/>
      <c r="H5" s="14"/>
      <c r="I5" s="15"/>
    </row>
    <row r="6" customFormat="false" ht="15" hidden="false" customHeight="true" outlineLevel="0" collapsed="false">
      <c r="A6" s="14" t="s">
        <v>161</v>
      </c>
      <c r="B6" s="14" t="s">
        <v>15</v>
      </c>
      <c r="C6" s="14" t="s">
        <v>162</v>
      </c>
      <c r="D6" s="14" t="s">
        <v>163</v>
      </c>
      <c r="E6" s="14" t="s">
        <v>3</v>
      </c>
      <c r="F6" s="14" t="s">
        <v>36</v>
      </c>
      <c r="G6" s="14"/>
      <c r="H6" s="14"/>
      <c r="I6" s="15"/>
    </row>
    <row r="7" customFormat="false" ht="23.25" hidden="false" customHeight="true" outlineLevel="0" collapsed="false">
      <c r="A7" s="14" t="s">
        <v>75</v>
      </c>
      <c r="B7" s="14" t="s">
        <v>15</v>
      </c>
      <c r="C7" s="14" t="s">
        <v>164</v>
      </c>
      <c r="D7" s="14" t="s">
        <v>165</v>
      </c>
      <c r="E7" s="14" t="s">
        <v>3</v>
      </c>
      <c r="F7" s="14" t="s">
        <v>54</v>
      </c>
      <c r="G7" s="14"/>
      <c r="H7" s="14"/>
      <c r="I7" s="15"/>
    </row>
    <row r="8" customFormat="false" ht="15" hidden="false" customHeight="true" outlineLevel="0" collapsed="false">
      <c r="A8" s="14" t="s">
        <v>141</v>
      </c>
      <c r="B8" s="14" t="s">
        <v>15</v>
      </c>
      <c r="C8" s="14" t="s">
        <v>166</v>
      </c>
      <c r="D8" s="14" t="s">
        <v>167</v>
      </c>
      <c r="E8" s="14" t="s">
        <v>3</v>
      </c>
      <c r="F8" s="14" t="s">
        <v>54</v>
      </c>
      <c r="G8" s="14"/>
      <c r="H8" s="14"/>
      <c r="I8" s="15"/>
    </row>
    <row r="9" customFormat="false" ht="15" hidden="false" customHeight="true" outlineLevel="0" collapsed="false">
      <c r="A9" s="14" t="s">
        <v>71</v>
      </c>
      <c r="B9" s="14" t="s">
        <v>15</v>
      </c>
      <c r="C9" s="14" t="s">
        <v>168</v>
      </c>
      <c r="D9" s="14" t="s">
        <v>169</v>
      </c>
      <c r="E9" s="14" t="s">
        <v>3</v>
      </c>
      <c r="F9" s="14" t="s">
        <v>36</v>
      </c>
      <c r="G9" s="14"/>
      <c r="H9" s="14"/>
      <c r="I9" s="15"/>
    </row>
    <row r="10" customFormat="false" ht="23.25" hidden="false" customHeight="true" outlineLevel="0" collapsed="false">
      <c r="A10" s="14" t="s">
        <v>47</v>
      </c>
      <c r="B10" s="14" t="s">
        <v>15</v>
      </c>
      <c r="C10" s="14" t="s">
        <v>170</v>
      </c>
      <c r="D10" s="14" t="s">
        <v>171</v>
      </c>
      <c r="E10" s="14" t="s">
        <v>3</v>
      </c>
      <c r="F10" s="14" t="s">
        <v>36</v>
      </c>
      <c r="G10" s="14" t="s">
        <v>172</v>
      </c>
      <c r="H10" s="14"/>
      <c r="I10" s="15"/>
    </row>
    <row r="11" customFormat="false" ht="15" hidden="false" customHeight="true" outlineLevel="0" collapsed="false">
      <c r="A11" s="14" t="s">
        <v>67</v>
      </c>
      <c r="B11" s="14" t="s">
        <v>15</v>
      </c>
      <c r="C11" s="14" t="s">
        <v>173</v>
      </c>
      <c r="D11" s="14" t="s">
        <v>174</v>
      </c>
      <c r="E11" s="14" t="s">
        <v>3</v>
      </c>
      <c r="F11" s="14" t="s">
        <v>54</v>
      </c>
      <c r="G11" s="14"/>
      <c r="H11" s="14"/>
      <c r="I11" s="15"/>
    </row>
    <row r="12" customFormat="false" ht="15" hidden="false" customHeight="true" outlineLevel="0" collapsed="false">
      <c r="A12" s="14" t="s">
        <v>55</v>
      </c>
      <c r="B12" s="14" t="s">
        <v>15</v>
      </c>
      <c r="C12" s="14" t="s">
        <v>175</v>
      </c>
      <c r="D12" s="14" t="s">
        <v>176</v>
      </c>
      <c r="E12" s="14" t="s">
        <v>3</v>
      </c>
      <c r="F12" s="14" t="s">
        <v>36</v>
      </c>
      <c r="G12" s="14"/>
      <c r="H12" s="14"/>
      <c r="I12" s="15"/>
    </row>
    <row r="13" customFormat="false" ht="15" hidden="false" customHeight="true" outlineLevel="0" collapsed="false">
      <c r="A13" s="14" t="s">
        <v>59</v>
      </c>
      <c r="B13" s="14" t="s">
        <v>15</v>
      </c>
      <c r="C13" s="14" t="s">
        <v>177</v>
      </c>
      <c r="D13" s="14" t="s">
        <v>178</v>
      </c>
      <c r="E13" s="14" t="s">
        <v>3</v>
      </c>
      <c r="F13" s="14" t="s">
        <v>36</v>
      </c>
      <c r="G13" s="14"/>
      <c r="H13" s="14"/>
      <c r="I13" s="15"/>
    </row>
    <row r="14" customFormat="false" ht="15" hidden="false" customHeight="true" outlineLevel="0" collapsed="false">
      <c r="A14" s="14" t="s">
        <v>179</v>
      </c>
      <c r="B14" s="14" t="s">
        <v>15</v>
      </c>
      <c r="C14" s="14" t="s">
        <v>180</v>
      </c>
      <c r="D14" s="14" t="s">
        <v>181</v>
      </c>
      <c r="E14" s="14" t="s">
        <v>3</v>
      </c>
      <c r="F14" s="14" t="s">
        <v>36</v>
      </c>
      <c r="G14" s="14" t="s">
        <v>182</v>
      </c>
      <c r="H14" s="14"/>
      <c r="I14" s="15"/>
    </row>
    <row r="15" customFormat="false" ht="15" hidden="false" customHeight="true" outlineLevel="0" collapsed="false">
      <c r="A15" s="14" t="s">
        <v>183</v>
      </c>
      <c r="B15" s="14" t="s">
        <v>15</v>
      </c>
      <c r="C15" s="14" t="s">
        <v>184</v>
      </c>
      <c r="D15" s="14" t="s">
        <v>185</v>
      </c>
      <c r="E15" s="14" t="s">
        <v>3</v>
      </c>
      <c r="F15" s="14" t="s">
        <v>36</v>
      </c>
      <c r="G15" s="14" t="s">
        <v>186</v>
      </c>
      <c r="H15" s="14"/>
      <c r="I15" s="15"/>
    </row>
    <row r="16" customFormat="false" ht="15" hidden="false" customHeight="true" outlineLevel="0" collapsed="false">
      <c r="A16" s="14" t="s">
        <v>79</v>
      </c>
      <c r="B16" s="14" t="s">
        <v>19</v>
      </c>
      <c r="C16" s="14" t="s">
        <v>187</v>
      </c>
      <c r="D16" s="14" t="s">
        <v>188</v>
      </c>
      <c r="E16" s="14" t="s">
        <v>3</v>
      </c>
      <c r="F16" s="14" t="s">
        <v>36</v>
      </c>
      <c r="G16" s="14"/>
      <c r="H16" s="14"/>
      <c r="I16" s="15"/>
    </row>
    <row r="17" customFormat="false" ht="23.25" hidden="false" customHeight="true" outlineLevel="0" collapsed="false">
      <c r="A17" s="14" t="s">
        <v>189</v>
      </c>
      <c r="B17" s="14" t="s">
        <v>15</v>
      </c>
      <c r="C17" s="14" t="s">
        <v>190</v>
      </c>
      <c r="D17" s="14" t="s">
        <v>191</v>
      </c>
      <c r="E17" s="14" t="s">
        <v>5</v>
      </c>
      <c r="F17" s="14" t="s">
        <v>36</v>
      </c>
      <c r="G17" s="14" t="s">
        <v>192</v>
      </c>
      <c r="H17" s="14"/>
      <c r="I17" s="15"/>
    </row>
    <row r="18" customFormat="false" ht="15" hidden="false" customHeight="true" outlineLevel="0" collapsed="false">
      <c r="A18" s="14" t="s">
        <v>193</v>
      </c>
      <c r="B18" s="14" t="s">
        <v>15</v>
      </c>
      <c r="C18" s="14" t="s">
        <v>194</v>
      </c>
      <c r="D18" s="14" t="s">
        <v>195</v>
      </c>
      <c r="E18" s="14" t="s">
        <v>5</v>
      </c>
      <c r="F18" s="14" t="s">
        <v>36</v>
      </c>
      <c r="G18" s="14"/>
      <c r="H18" s="14"/>
      <c r="I18" s="15"/>
    </row>
    <row r="19" customFormat="false" ht="23.25" hidden="false" customHeight="true" outlineLevel="0" collapsed="false">
      <c r="A19" s="14" t="s">
        <v>196</v>
      </c>
      <c r="B19" s="14" t="s">
        <v>16</v>
      </c>
      <c r="C19" s="14" t="s">
        <v>197</v>
      </c>
      <c r="D19" s="14" t="s">
        <v>198</v>
      </c>
      <c r="E19" s="14" t="s">
        <v>6</v>
      </c>
      <c r="F19" s="14" t="s">
        <v>36</v>
      </c>
      <c r="G19" s="14" t="s">
        <v>199</v>
      </c>
      <c r="H19" s="14"/>
      <c r="I19" s="15"/>
    </row>
    <row r="20" customFormat="false" ht="15" hidden="false" customHeight="true" outlineLevel="0" collapsed="false">
      <c r="A20" s="14" t="s">
        <v>200</v>
      </c>
      <c r="B20" s="14" t="s">
        <v>16</v>
      </c>
      <c r="C20" s="14" t="s">
        <v>201</v>
      </c>
      <c r="D20" s="14" t="s">
        <v>202</v>
      </c>
      <c r="E20" s="14" t="s">
        <v>5</v>
      </c>
      <c r="F20" s="14" t="s">
        <v>36</v>
      </c>
      <c r="G20" s="14" t="s">
        <v>196</v>
      </c>
      <c r="H20" s="14"/>
      <c r="I20" s="15"/>
    </row>
    <row r="21" customFormat="false" ht="15" hidden="false" customHeight="true" outlineLevel="0" collapsed="false">
      <c r="A21" s="14" t="s">
        <v>203</v>
      </c>
      <c r="B21" s="14" t="s">
        <v>16</v>
      </c>
      <c r="C21" s="14" t="s">
        <v>204</v>
      </c>
      <c r="D21" s="14" t="s">
        <v>205</v>
      </c>
      <c r="E21" s="14" t="s">
        <v>5</v>
      </c>
      <c r="F21" s="14" t="s">
        <v>36</v>
      </c>
      <c r="G21" s="14" t="s">
        <v>200</v>
      </c>
      <c r="H21" s="14"/>
      <c r="I21" s="15"/>
    </row>
    <row r="22" customFormat="false" ht="15" hidden="false" customHeight="true" outlineLevel="0" collapsed="false">
      <c r="A22" s="14" t="s">
        <v>206</v>
      </c>
      <c r="B22" s="14" t="s">
        <v>16</v>
      </c>
      <c r="C22" s="14" t="s">
        <v>207</v>
      </c>
      <c r="D22" s="14" t="s">
        <v>208</v>
      </c>
      <c r="E22" s="14" t="s">
        <v>5</v>
      </c>
      <c r="F22" s="14" t="s">
        <v>36</v>
      </c>
      <c r="G22" s="14" t="s">
        <v>209</v>
      </c>
      <c r="H22" s="14"/>
      <c r="I22" s="15"/>
    </row>
    <row r="23" customFormat="false" ht="15" hidden="false" customHeight="true" outlineLevel="0" collapsed="false">
      <c r="A23" s="14" t="s">
        <v>210</v>
      </c>
      <c r="B23" s="14" t="s">
        <v>16</v>
      </c>
      <c r="C23" s="14" t="s">
        <v>211</v>
      </c>
      <c r="D23" s="14" t="s">
        <v>212</v>
      </c>
      <c r="E23" s="14" t="s">
        <v>5</v>
      </c>
      <c r="F23" s="14" t="s">
        <v>54</v>
      </c>
      <c r="G23" s="14" t="s">
        <v>95</v>
      </c>
      <c r="H23" s="14"/>
      <c r="I23" s="15"/>
    </row>
    <row r="24" customFormat="false" ht="15" hidden="false" customHeight="true" outlineLevel="0" collapsed="false">
      <c r="A24" s="14" t="s">
        <v>99</v>
      </c>
      <c r="B24" s="14" t="s">
        <v>17</v>
      </c>
      <c r="C24" s="14" t="s">
        <v>213</v>
      </c>
      <c r="D24" s="14" t="s">
        <v>214</v>
      </c>
      <c r="E24" s="14" t="s">
        <v>5</v>
      </c>
      <c r="F24" s="14" t="s">
        <v>36</v>
      </c>
      <c r="G24" s="14"/>
      <c r="H24" s="14"/>
      <c r="I24" s="15"/>
    </row>
    <row r="25" customFormat="false" ht="15" hidden="false" customHeight="true" outlineLevel="0" collapsed="false">
      <c r="A25" s="14" t="s">
        <v>103</v>
      </c>
      <c r="B25" s="14" t="s">
        <v>17</v>
      </c>
      <c r="C25" s="14" t="s">
        <v>215</v>
      </c>
      <c r="D25" s="14" t="s">
        <v>216</v>
      </c>
      <c r="E25" s="14" t="s">
        <v>5</v>
      </c>
      <c r="F25" s="14" t="s">
        <v>36</v>
      </c>
      <c r="G25" s="14"/>
      <c r="H25" s="14"/>
      <c r="I25" s="15"/>
    </row>
    <row r="26" customFormat="false" ht="15" hidden="false" customHeight="true" outlineLevel="0" collapsed="false">
      <c r="A26" s="14" t="s">
        <v>107</v>
      </c>
      <c r="B26" s="14" t="s">
        <v>17</v>
      </c>
      <c r="C26" s="14" t="s">
        <v>217</v>
      </c>
      <c r="D26" s="14" t="s">
        <v>218</v>
      </c>
      <c r="E26" s="14" t="s">
        <v>5</v>
      </c>
      <c r="F26" s="14" t="s">
        <v>54</v>
      </c>
      <c r="G26" s="14" t="s">
        <v>103</v>
      </c>
      <c r="H26" s="14"/>
      <c r="I26" s="15"/>
    </row>
    <row r="27" customFormat="false" ht="15" hidden="false" customHeight="true" outlineLevel="0" collapsed="false">
      <c r="A27" s="14" t="s">
        <v>219</v>
      </c>
      <c r="B27" s="14" t="s">
        <v>17</v>
      </c>
      <c r="C27" s="14" t="s">
        <v>220</v>
      </c>
      <c r="D27" s="14" t="s">
        <v>221</v>
      </c>
      <c r="E27" s="14" t="s">
        <v>5</v>
      </c>
      <c r="F27" s="14" t="s">
        <v>36</v>
      </c>
      <c r="G27" s="14"/>
      <c r="H27" s="14"/>
      <c r="I27" s="15"/>
    </row>
    <row r="28" customFormat="false" ht="15" hidden="false" customHeight="true" outlineLevel="0" collapsed="false">
      <c r="A28" s="14" t="s">
        <v>115</v>
      </c>
      <c r="B28" s="14" t="s">
        <v>17</v>
      </c>
      <c r="C28" s="14" t="s">
        <v>222</v>
      </c>
      <c r="D28" s="14" t="s">
        <v>223</v>
      </c>
      <c r="E28" s="14" t="s">
        <v>5</v>
      </c>
      <c r="F28" s="14" t="s">
        <v>54</v>
      </c>
      <c r="G28" s="14" t="s">
        <v>219</v>
      </c>
      <c r="H28" s="14"/>
      <c r="I28" s="15"/>
    </row>
    <row r="29" customFormat="false" ht="15" hidden="false" customHeight="true" outlineLevel="0" collapsed="false">
      <c r="A29" s="14" t="s">
        <v>224</v>
      </c>
      <c r="B29" s="14" t="s">
        <v>18</v>
      </c>
      <c r="C29" s="14" t="s">
        <v>225</v>
      </c>
      <c r="D29" s="14" t="s">
        <v>226</v>
      </c>
      <c r="E29" s="14" t="s">
        <v>5</v>
      </c>
      <c r="F29" s="14" t="s">
        <v>36</v>
      </c>
      <c r="G29" s="14" t="s">
        <v>227</v>
      </c>
      <c r="H29" s="14"/>
      <c r="I29" s="15"/>
    </row>
    <row r="30" customFormat="false" ht="15" hidden="false" customHeight="true" outlineLevel="0" collapsed="false">
      <c r="A30" s="14" t="s">
        <v>228</v>
      </c>
      <c r="B30" s="14" t="s">
        <v>18</v>
      </c>
      <c r="C30" s="14" t="s">
        <v>229</v>
      </c>
      <c r="D30" s="14" t="s">
        <v>230</v>
      </c>
      <c r="E30" s="14" t="s">
        <v>5</v>
      </c>
      <c r="F30" s="14" t="s">
        <v>36</v>
      </c>
      <c r="G30" s="14" t="s">
        <v>224</v>
      </c>
      <c r="H30" s="14"/>
      <c r="I30" s="15"/>
    </row>
    <row r="31" customFormat="false" ht="15" hidden="false" customHeight="true" outlineLevel="0" collapsed="false">
      <c r="A31" s="14" t="s">
        <v>231</v>
      </c>
      <c r="B31" s="14" t="s">
        <v>18</v>
      </c>
      <c r="C31" s="14" t="s">
        <v>232</v>
      </c>
      <c r="D31" s="14" t="s">
        <v>233</v>
      </c>
      <c r="E31" s="14" t="s">
        <v>5</v>
      </c>
      <c r="F31" s="14" t="s">
        <v>36</v>
      </c>
      <c r="G31" s="14" t="s">
        <v>224</v>
      </c>
      <c r="H31" s="14"/>
      <c r="I31" s="15"/>
    </row>
    <row r="32" customFormat="false" ht="15" hidden="false" customHeight="true" outlineLevel="0" collapsed="false">
      <c r="A32" s="14" t="s">
        <v>123</v>
      </c>
      <c r="B32" s="14" t="s">
        <v>19</v>
      </c>
      <c r="C32" s="14" t="s">
        <v>234</v>
      </c>
      <c r="D32" s="14" t="s">
        <v>235</v>
      </c>
      <c r="E32" s="14" t="s">
        <v>5</v>
      </c>
      <c r="F32" s="14" t="s">
        <v>54</v>
      </c>
      <c r="G32" s="14"/>
      <c r="H32" s="14"/>
      <c r="I32" s="15"/>
    </row>
    <row r="33" customFormat="false" ht="15" hidden="false" customHeight="true" outlineLevel="0" collapsed="false">
      <c r="A33" s="14" t="s">
        <v>236</v>
      </c>
      <c r="B33" s="14" t="s">
        <v>19</v>
      </c>
      <c r="C33" s="14" t="s">
        <v>237</v>
      </c>
      <c r="D33" s="14" t="s">
        <v>238</v>
      </c>
      <c r="E33" s="14" t="s">
        <v>5</v>
      </c>
      <c r="F33" s="14" t="s">
        <v>54</v>
      </c>
      <c r="G33" s="14" t="s">
        <v>239</v>
      </c>
      <c r="H33" s="14"/>
      <c r="I33" s="15"/>
    </row>
    <row r="34" customFormat="false" ht="15" hidden="false" customHeight="true" outlineLevel="0" collapsed="false">
      <c r="A34" s="14" t="s">
        <v>133</v>
      </c>
      <c r="B34" s="14" t="s">
        <v>19</v>
      </c>
      <c r="C34" s="14" t="s">
        <v>240</v>
      </c>
      <c r="D34" s="14" t="s">
        <v>241</v>
      </c>
      <c r="E34" s="14" t="s">
        <v>5</v>
      </c>
      <c r="F34" s="14" t="s">
        <v>36</v>
      </c>
      <c r="G34" s="14"/>
      <c r="H34" s="14"/>
      <c r="I34" s="15"/>
    </row>
    <row r="35" customFormat="false" ht="15" hidden="false" customHeight="true" outlineLevel="0" collapsed="false">
      <c r="A35" s="14" t="s">
        <v>137</v>
      </c>
      <c r="B35" s="14" t="s">
        <v>19</v>
      </c>
      <c r="C35" s="14" t="s">
        <v>242</v>
      </c>
      <c r="D35" s="14" t="s">
        <v>243</v>
      </c>
      <c r="E35" s="14" t="s">
        <v>5</v>
      </c>
      <c r="F35" s="14" t="s">
        <v>83</v>
      </c>
      <c r="G35" s="14"/>
      <c r="H35" s="14"/>
      <c r="I35" s="15"/>
    </row>
    <row r="36" customFormat="false" ht="15" hidden="false" customHeight="true" outlineLevel="0" collapsed="false">
      <c r="A36" s="14" t="s">
        <v>244</v>
      </c>
      <c r="B36" s="14" t="s">
        <v>14</v>
      </c>
      <c r="C36" s="14" t="s">
        <v>245</v>
      </c>
      <c r="D36" s="14" t="s">
        <v>246</v>
      </c>
      <c r="E36" s="14" t="s">
        <v>5</v>
      </c>
      <c r="F36" s="14" t="s">
        <v>54</v>
      </c>
      <c r="G36" s="14"/>
      <c r="H36" s="14"/>
      <c r="I36" s="15"/>
    </row>
    <row r="37" customFormat="false" ht="23.85" hidden="false" customHeight="false" outlineLevel="0" collapsed="false">
      <c r="A37" s="14" t="s">
        <v>145</v>
      </c>
      <c r="B37" s="14" t="s">
        <v>15</v>
      </c>
      <c r="C37" s="14" t="s">
        <v>247</v>
      </c>
      <c r="D37" s="14" t="s">
        <v>248</v>
      </c>
      <c r="E37" s="14" t="s">
        <v>3</v>
      </c>
      <c r="F37" s="14" t="s">
        <v>36</v>
      </c>
      <c r="G37" s="14"/>
      <c r="H37" s="14"/>
      <c r="I37" s="15"/>
    </row>
    <row r="38" customFormat="false" ht="15" hidden="false" customHeight="false" outlineLevel="0" collapsed="false">
      <c r="A38" s="14" t="s">
        <v>249</v>
      </c>
      <c r="B38" s="14" t="s">
        <v>19</v>
      </c>
      <c r="C38" s="14" t="s">
        <v>250</v>
      </c>
      <c r="D38" s="14" t="s">
        <v>251</v>
      </c>
      <c r="E38" s="14" t="s">
        <v>5</v>
      </c>
      <c r="F38" s="14" t="s">
        <v>54</v>
      </c>
      <c r="G38" s="14" t="s">
        <v>252</v>
      </c>
      <c r="H38" s="14"/>
      <c r="I38" s="15"/>
    </row>
    <row r="39" customFormat="false" ht="15" hidden="false" customHeight="false" outlineLevel="0" collapsed="false">
      <c r="A39" s="14" t="s">
        <v>253</v>
      </c>
      <c r="B39" s="14" t="s">
        <v>15</v>
      </c>
      <c r="C39" s="14" t="s">
        <v>254</v>
      </c>
      <c r="D39" s="14" t="s">
        <v>255</v>
      </c>
      <c r="E39" s="14" t="s">
        <v>5</v>
      </c>
      <c r="F39" s="14" t="s">
        <v>54</v>
      </c>
      <c r="G39" s="14" t="s">
        <v>192</v>
      </c>
      <c r="H39" s="14"/>
      <c r="I39" s="15"/>
    </row>
  </sheetData>
  <autoFilter ref="A1:I39"/>
  <conditionalFormatting sqref="E2:E136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9">
      <formula>"Blocked"</formula>
    </cfRule>
  </conditionalFormatting>
  <dataValidations count="2">
    <dataValidation allowBlank="false" errorStyle="stop" operator="between" showDropDown="false" showErrorMessage="false" showInputMessage="false" sqref="E2:E136" type="list">
      <formula1>"Done,In Progress,Not Started,Blocked"</formula1>
      <formula2>0</formula2>
    </dataValidation>
    <dataValidation allowBlank="false" errorStyle="stop" operator="between" showDropDown="false" showErrorMessage="false" showInputMessage="false" sqref="F2:F13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5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34"/>
    <col collapsed="false" customWidth="true" hidden="false" outlineLevel="0" max="8" min="8" style="1" width="14"/>
    <col collapsed="false" customWidth="true" hidden="false" outlineLevel="0" max="9" min="9" style="1" width="13"/>
  </cols>
  <sheetData>
    <row r="1" customFormat="false" ht="21.75" hidden="false" customHeight="true" outlineLevel="0" collapsed="false">
      <c r="A1" s="13" t="s">
        <v>25</v>
      </c>
      <c r="B1" s="13" t="s">
        <v>13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</row>
    <row r="2" customFormat="false" ht="15" hidden="false" customHeight="true" outlineLevel="0" collapsed="false">
      <c r="A2" s="14" t="s">
        <v>256</v>
      </c>
      <c r="B2" s="14" t="s">
        <v>14</v>
      </c>
      <c r="C2" s="14" t="s">
        <v>257</v>
      </c>
      <c r="D2" s="14" t="s">
        <v>258</v>
      </c>
      <c r="E2" s="14" t="s">
        <v>3</v>
      </c>
      <c r="F2" s="14" t="s">
        <v>36</v>
      </c>
      <c r="G2" s="14"/>
      <c r="H2" s="14"/>
      <c r="I2" s="15"/>
    </row>
    <row r="3" customFormat="false" ht="15" hidden="false" customHeight="true" outlineLevel="0" collapsed="false">
      <c r="A3" s="14" t="s">
        <v>259</v>
      </c>
      <c r="B3" s="14" t="s">
        <v>15</v>
      </c>
      <c r="C3" s="14" t="s">
        <v>260</v>
      </c>
      <c r="D3" s="14" t="s">
        <v>261</v>
      </c>
      <c r="E3" s="14" t="s">
        <v>3</v>
      </c>
      <c r="F3" s="14" t="s">
        <v>36</v>
      </c>
      <c r="G3" s="14" t="s">
        <v>262</v>
      </c>
      <c r="H3" s="14"/>
      <c r="I3" s="15"/>
    </row>
    <row r="4" customFormat="false" ht="15" hidden="false" customHeight="true" outlineLevel="0" collapsed="false">
      <c r="A4" s="14" t="s">
        <v>263</v>
      </c>
      <c r="B4" s="14" t="s">
        <v>15</v>
      </c>
      <c r="C4" s="14" t="s">
        <v>264</v>
      </c>
      <c r="D4" s="14" t="s">
        <v>265</v>
      </c>
      <c r="E4" s="14" t="s">
        <v>3</v>
      </c>
      <c r="F4" s="14" t="s">
        <v>36</v>
      </c>
      <c r="G4" s="14" t="s">
        <v>262</v>
      </c>
      <c r="H4" s="14"/>
      <c r="I4" s="15"/>
    </row>
    <row r="5" customFormat="false" ht="15" hidden="false" customHeight="true" outlineLevel="0" collapsed="false">
      <c r="A5" s="14" t="s">
        <v>239</v>
      </c>
      <c r="B5" s="14" t="s">
        <v>19</v>
      </c>
      <c r="C5" s="14" t="s">
        <v>266</v>
      </c>
      <c r="D5" s="14" t="s">
        <v>267</v>
      </c>
      <c r="E5" s="14" t="s">
        <v>3</v>
      </c>
      <c r="F5" s="14" t="s">
        <v>36</v>
      </c>
      <c r="G5" s="14"/>
      <c r="H5" s="14"/>
      <c r="I5" s="15"/>
    </row>
    <row r="6" customFormat="false" ht="15" hidden="false" customHeight="true" outlineLevel="0" collapsed="false">
      <c r="A6" s="14" t="s">
        <v>182</v>
      </c>
      <c r="B6" s="14" t="s">
        <v>15</v>
      </c>
      <c r="C6" s="14" t="s">
        <v>268</v>
      </c>
      <c r="D6" s="14" t="s">
        <v>269</v>
      </c>
      <c r="E6" s="14" t="s">
        <v>3</v>
      </c>
      <c r="F6" s="14" t="s">
        <v>36</v>
      </c>
      <c r="G6" s="14"/>
      <c r="H6" s="14"/>
      <c r="I6" s="15"/>
    </row>
    <row r="7" customFormat="false" ht="15" hidden="false" customHeight="true" outlineLevel="0" collapsed="false">
      <c r="A7" s="14" t="s">
        <v>270</v>
      </c>
      <c r="B7" s="14" t="s">
        <v>15</v>
      </c>
      <c r="C7" s="14" t="s">
        <v>271</v>
      </c>
      <c r="D7" s="14" t="s">
        <v>272</v>
      </c>
      <c r="E7" s="14" t="s">
        <v>3</v>
      </c>
      <c r="F7" s="14" t="s">
        <v>36</v>
      </c>
      <c r="G7" s="14"/>
      <c r="H7" s="14"/>
      <c r="I7" s="15"/>
    </row>
    <row r="8" customFormat="false" ht="23.25" hidden="false" customHeight="true" outlineLevel="0" collapsed="false">
      <c r="A8" s="14" t="s">
        <v>273</v>
      </c>
      <c r="B8" s="14" t="s">
        <v>15</v>
      </c>
      <c r="C8" s="14" t="s">
        <v>274</v>
      </c>
      <c r="D8" s="14" t="s">
        <v>275</v>
      </c>
      <c r="E8" s="14" t="s">
        <v>3</v>
      </c>
      <c r="F8" s="14" t="s">
        <v>36</v>
      </c>
      <c r="G8" s="14"/>
      <c r="H8" s="14"/>
      <c r="I8" s="15"/>
    </row>
    <row r="9" customFormat="false" ht="15" hidden="false" customHeight="true" outlineLevel="0" collapsed="false">
      <c r="A9" s="14" t="s">
        <v>186</v>
      </c>
      <c r="B9" s="14" t="s">
        <v>15</v>
      </c>
      <c r="C9" s="14" t="s">
        <v>276</v>
      </c>
      <c r="D9" s="14" t="s">
        <v>277</v>
      </c>
      <c r="E9" s="14" t="s">
        <v>3</v>
      </c>
      <c r="F9" s="14" t="s">
        <v>36</v>
      </c>
      <c r="G9" s="14"/>
      <c r="H9" s="14"/>
      <c r="I9" s="15"/>
    </row>
    <row r="10" customFormat="false" ht="23.25" hidden="false" customHeight="true" outlineLevel="0" collapsed="false">
      <c r="A10" s="14" t="s">
        <v>278</v>
      </c>
      <c r="B10" s="14" t="s">
        <v>15</v>
      </c>
      <c r="C10" s="14" t="s">
        <v>279</v>
      </c>
      <c r="D10" s="14" t="s">
        <v>280</v>
      </c>
      <c r="E10" s="14" t="s">
        <v>5</v>
      </c>
      <c r="F10" s="14" t="s">
        <v>36</v>
      </c>
      <c r="G10" s="14" t="s">
        <v>281</v>
      </c>
      <c r="H10" s="14"/>
      <c r="I10" s="15"/>
    </row>
    <row r="11" customFormat="false" ht="23.25" hidden="false" customHeight="true" outlineLevel="0" collapsed="false">
      <c r="A11" s="14" t="s">
        <v>282</v>
      </c>
      <c r="B11" s="14" t="s">
        <v>15</v>
      </c>
      <c r="C11" s="14" t="s">
        <v>283</v>
      </c>
      <c r="D11" s="14" t="s">
        <v>284</v>
      </c>
      <c r="E11" s="14" t="s">
        <v>5</v>
      </c>
      <c r="F11" s="14" t="s">
        <v>54</v>
      </c>
      <c r="G11" s="14" t="s">
        <v>278</v>
      </c>
      <c r="H11" s="14"/>
      <c r="I11" s="15"/>
    </row>
    <row r="12" customFormat="false" ht="15" hidden="false" customHeight="true" outlineLevel="0" collapsed="false">
      <c r="A12" s="14" t="s">
        <v>285</v>
      </c>
      <c r="B12" s="14" t="s">
        <v>15</v>
      </c>
      <c r="C12" s="14" t="s">
        <v>286</v>
      </c>
      <c r="D12" s="14" t="s">
        <v>287</v>
      </c>
      <c r="E12" s="14" t="s">
        <v>5</v>
      </c>
      <c r="F12" s="14" t="s">
        <v>54</v>
      </c>
      <c r="G12" s="14"/>
      <c r="H12" s="14"/>
      <c r="I12" s="15"/>
    </row>
    <row r="13" customFormat="false" ht="15" hidden="false" customHeight="true" outlineLevel="0" collapsed="false">
      <c r="A13" s="14" t="s">
        <v>209</v>
      </c>
      <c r="B13" s="14" t="s">
        <v>16</v>
      </c>
      <c r="C13" s="14" t="s">
        <v>288</v>
      </c>
      <c r="D13" s="14" t="s">
        <v>289</v>
      </c>
      <c r="E13" s="14" t="s">
        <v>5</v>
      </c>
      <c r="F13" s="14" t="s">
        <v>36</v>
      </c>
      <c r="G13" s="14" t="s">
        <v>200</v>
      </c>
      <c r="H13" s="14"/>
      <c r="I13" s="15"/>
    </row>
    <row r="14" customFormat="false" ht="15" hidden="false" customHeight="true" outlineLevel="0" collapsed="false">
      <c r="A14" s="14" t="s">
        <v>95</v>
      </c>
      <c r="B14" s="14" t="s">
        <v>16</v>
      </c>
      <c r="C14" s="14" t="s">
        <v>290</v>
      </c>
      <c r="D14" s="14" t="s">
        <v>291</v>
      </c>
      <c r="E14" s="14" t="s">
        <v>5</v>
      </c>
      <c r="F14" s="14" t="s">
        <v>36</v>
      </c>
      <c r="G14" s="14" t="s">
        <v>209</v>
      </c>
      <c r="H14" s="14"/>
      <c r="I14" s="15"/>
    </row>
    <row r="15" customFormat="false" ht="15" hidden="false" customHeight="true" outlineLevel="0" collapsed="false">
      <c r="A15" s="14" t="s">
        <v>292</v>
      </c>
      <c r="B15" s="14" t="s">
        <v>16</v>
      </c>
      <c r="C15" s="14" t="s">
        <v>293</v>
      </c>
      <c r="D15" s="14" t="s">
        <v>294</v>
      </c>
      <c r="E15" s="14" t="s">
        <v>5</v>
      </c>
      <c r="F15" s="14" t="s">
        <v>83</v>
      </c>
      <c r="G15" s="14"/>
      <c r="H15" s="14"/>
      <c r="I15" s="15"/>
    </row>
    <row r="16" customFormat="false" ht="15" hidden="false" customHeight="true" outlineLevel="0" collapsed="false">
      <c r="A16" s="14" t="s">
        <v>295</v>
      </c>
      <c r="B16" s="14" t="s">
        <v>19</v>
      </c>
      <c r="C16" s="14" t="s">
        <v>296</v>
      </c>
      <c r="D16" s="14" t="s">
        <v>297</v>
      </c>
      <c r="E16" s="14" t="s">
        <v>5</v>
      </c>
      <c r="F16" s="14" t="s">
        <v>54</v>
      </c>
      <c r="G16" s="14" t="s">
        <v>239</v>
      </c>
      <c r="H16" s="14"/>
      <c r="I16" s="15"/>
    </row>
    <row r="17" customFormat="false" ht="15" hidden="false" customHeight="true" outlineLevel="0" collapsed="false">
      <c r="A17" s="14" t="s">
        <v>227</v>
      </c>
      <c r="B17" s="14" t="s">
        <v>18</v>
      </c>
      <c r="C17" s="14" t="s">
        <v>298</v>
      </c>
      <c r="D17" s="14" t="s">
        <v>299</v>
      </c>
      <c r="E17" s="14" t="s">
        <v>5</v>
      </c>
      <c r="F17" s="14" t="s">
        <v>36</v>
      </c>
      <c r="G17" s="14" t="s">
        <v>224</v>
      </c>
      <c r="H17" s="14"/>
      <c r="I17" s="15"/>
    </row>
    <row r="18" customFormat="false" ht="15" hidden="false" customHeight="true" outlineLevel="0" collapsed="false">
      <c r="A18" s="14" t="s">
        <v>300</v>
      </c>
      <c r="B18" s="14" t="s">
        <v>18</v>
      </c>
      <c r="C18" s="14" t="s">
        <v>301</v>
      </c>
      <c r="D18" s="14" t="s">
        <v>302</v>
      </c>
      <c r="E18" s="14" t="s">
        <v>5</v>
      </c>
      <c r="F18" s="14" t="s">
        <v>36</v>
      </c>
      <c r="G18" s="14" t="s">
        <v>227</v>
      </c>
      <c r="H18" s="14"/>
      <c r="I18" s="15"/>
    </row>
    <row r="19" customFormat="false" ht="15" hidden="false" customHeight="true" outlineLevel="0" collapsed="false">
      <c r="A19" s="14" t="s">
        <v>119</v>
      </c>
      <c r="B19" s="14" t="s">
        <v>18</v>
      </c>
      <c r="C19" s="14" t="s">
        <v>303</v>
      </c>
      <c r="D19" s="14" t="s">
        <v>304</v>
      </c>
      <c r="E19" s="14" t="s">
        <v>5</v>
      </c>
      <c r="F19" s="14" t="s">
        <v>36</v>
      </c>
      <c r="G19" s="14" t="s">
        <v>228</v>
      </c>
      <c r="H19" s="14"/>
      <c r="I19" s="15"/>
    </row>
    <row r="20" customFormat="false" ht="15" hidden="false" customHeight="true" outlineLevel="0" collapsed="false">
      <c r="A20" s="14" t="s">
        <v>305</v>
      </c>
      <c r="B20" s="14" t="s">
        <v>18</v>
      </c>
      <c r="C20" s="14" t="s">
        <v>306</v>
      </c>
      <c r="D20" s="14" t="s">
        <v>307</v>
      </c>
      <c r="E20" s="14" t="s">
        <v>5</v>
      </c>
      <c r="F20" s="14" t="s">
        <v>54</v>
      </c>
      <c r="G20" s="14" t="s">
        <v>107</v>
      </c>
      <c r="H20" s="14"/>
      <c r="I20" s="15"/>
    </row>
    <row r="21" customFormat="false" ht="15" hidden="false" customHeight="true" outlineLevel="0" collapsed="false">
      <c r="A21" s="14" t="s">
        <v>308</v>
      </c>
      <c r="B21" s="14" t="s">
        <v>18</v>
      </c>
      <c r="C21" s="14" t="s">
        <v>309</v>
      </c>
      <c r="D21" s="14" t="s">
        <v>310</v>
      </c>
      <c r="E21" s="14" t="s">
        <v>5</v>
      </c>
      <c r="F21" s="14" t="s">
        <v>54</v>
      </c>
      <c r="G21" s="14" t="s">
        <v>224</v>
      </c>
      <c r="H21" s="14"/>
      <c r="I21" s="15"/>
    </row>
    <row r="22" customFormat="false" ht="15" hidden="false" customHeight="true" outlineLevel="0" collapsed="false">
      <c r="A22" s="14" t="s">
        <v>311</v>
      </c>
      <c r="B22" s="14" t="s">
        <v>17</v>
      </c>
      <c r="C22" s="14" t="s">
        <v>312</v>
      </c>
      <c r="D22" s="14" t="s">
        <v>313</v>
      </c>
      <c r="E22" s="14" t="s">
        <v>5</v>
      </c>
      <c r="F22" s="14" t="s">
        <v>36</v>
      </c>
      <c r="G22" s="14" t="s">
        <v>219</v>
      </c>
      <c r="H22" s="14"/>
      <c r="I22" s="15"/>
    </row>
    <row r="23" customFormat="false" ht="15" hidden="false" customHeight="true" outlineLevel="0" collapsed="false">
      <c r="A23" s="14" t="s">
        <v>314</v>
      </c>
      <c r="B23" s="14" t="s">
        <v>19</v>
      </c>
      <c r="C23" s="14" t="s">
        <v>315</v>
      </c>
      <c r="D23" s="14" t="s">
        <v>316</v>
      </c>
      <c r="E23" s="14" t="s">
        <v>5</v>
      </c>
      <c r="F23" s="14" t="s">
        <v>54</v>
      </c>
      <c r="G23" s="14" t="s">
        <v>236</v>
      </c>
      <c r="H23" s="14"/>
      <c r="I23" s="15"/>
    </row>
    <row r="24" customFormat="false" ht="15" hidden="false" customHeight="true" outlineLevel="0" collapsed="false">
      <c r="A24" s="14" t="s">
        <v>317</v>
      </c>
      <c r="B24" s="14" t="s">
        <v>19</v>
      </c>
      <c r="C24" s="14" t="s">
        <v>318</v>
      </c>
      <c r="D24" s="14" t="s">
        <v>319</v>
      </c>
      <c r="E24" s="14" t="s">
        <v>5</v>
      </c>
      <c r="F24" s="14" t="s">
        <v>83</v>
      </c>
      <c r="G24" s="14" t="s">
        <v>137</v>
      </c>
      <c r="H24" s="14"/>
      <c r="I24" s="15"/>
    </row>
    <row r="25" customFormat="false" ht="23.25" hidden="false" customHeight="true" outlineLevel="0" collapsed="false">
      <c r="A25" s="14" t="s">
        <v>320</v>
      </c>
      <c r="B25" s="14" t="s">
        <v>18</v>
      </c>
      <c r="C25" s="14" t="s">
        <v>321</v>
      </c>
      <c r="D25" s="14" t="s">
        <v>322</v>
      </c>
      <c r="E25" s="14" t="s">
        <v>5</v>
      </c>
      <c r="F25" s="14" t="s">
        <v>36</v>
      </c>
      <c r="G25" s="14" t="s">
        <v>227</v>
      </c>
      <c r="H25" s="14"/>
      <c r="I25" s="15"/>
    </row>
  </sheetData>
  <autoFilter ref="A1:I25"/>
  <conditionalFormatting sqref="E2:E125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"Not Started"</formula>
    </cfRule>
    <cfRule type="cellIs" priority="5" operator="equal" aboveAverage="0" equalAverage="0" bottom="0" percent="0" rank="0" text="" dxfId="9">
      <formula>"Blocked"</formula>
    </cfRule>
  </conditionalFormatting>
  <dataValidations count="2">
    <dataValidation allowBlank="false" errorStyle="stop" operator="between" showDropDown="false" showErrorMessage="false" showInputMessage="false" sqref="E2:E125" type="list">
      <formula1>"Done,In Progress,Not Started,Blocked"</formula1>
      <formula2>0</formula2>
    </dataValidation>
    <dataValidation allowBlank="false" errorStyle="stop" operator="between" showDropDown="false" showErrorMessage="false" showInputMessage="false" sqref="F2:F12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2026-10-08T16:50:56Z</dcterms:created>
  <dc:creator>openpyxl</dc:creator>
  <dc:description/>
  <dc:language>en-US</dc:language>
  <cp:lastModifiedBy/>
  <dcterms:modified xsi:type="dcterms:W3CDTF">2026-10-08T18:14:17Z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